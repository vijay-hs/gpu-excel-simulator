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GPU_Architecture" sheetId="1" state="visible" r:id="rId1"/>
    <sheet xmlns:r="http://schemas.openxmlformats.org/officeDocument/2006/relationships" name="1_Naive_GEMM" sheetId="2" state="visible" r:id="rId2"/>
    <sheet xmlns:r="http://schemas.openxmlformats.org/officeDocument/2006/relationships" name="2_Block_GEMM_Reduction" sheetId="3" state="visible" r:id="rId3"/>
    <sheet xmlns:r="http://schemas.openxmlformats.org/officeDocument/2006/relationships" name="3_Tiled_Shared_Memory_GEMM" sheetId="4" state="visible" r:id="rId4"/>
    <sheet xmlns:r="http://schemas.openxmlformats.org/officeDocument/2006/relationships" name="4_Roofline_Model"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Segoe UI"/>
      <b val="1"/>
      <color rgb="00FFFFFF"/>
      <sz val="16"/>
    </font>
    <font>
      <name val="Segoe UI"/>
      <i val="1"/>
      <color rgb="00475569"/>
      <sz val="11"/>
    </font>
    <font>
      <name val="Segoe UI"/>
      <b val="1"/>
      <color rgb="00FFFFFF"/>
      <sz val="12"/>
    </font>
    <font>
      <name val="Segoe UI"/>
      <color rgb="001E293B"/>
      <sz val="10"/>
    </font>
    <font>
      <name val="Segoe UI"/>
      <b val="1"/>
      <color rgb="00FFFFFF"/>
      <sz val="10"/>
    </font>
    <font>
      <name val="Segoe UI"/>
      <color rgb="001E293B"/>
      <sz val="9.5"/>
    </font>
    <font>
      <name val="Segoe UI"/>
      <b val="1"/>
      <color rgb="00FFFFFF"/>
      <sz val="14"/>
    </font>
    <font>
      <name val="Segoe UI"/>
      <b val="1"/>
      <color rgb="00FFFFFF"/>
      <sz val="11"/>
    </font>
    <font>
      <name val="Segoe UI"/>
      <b val="1"/>
      <color rgb="001E293B"/>
      <sz val="11"/>
    </font>
    <font>
      <name val="Segoe UI"/>
      <b val="1"/>
      <color rgb="00065F46"/>
      <sz val="11"/>
    </font>
    <font>
      <name val="Segoe UI"/>
      <i val="1"/>
      <color rgb="00475569"/>
      <sz val="10.5"/>
    </font>
    <font>
      <name val="Segoe UI"/>
      <b val="1"/>
      <color rgb="00FFFFFF"/>
      <sz val="10.5"/>
    </font>
    <font>
      <name val="Segoe UI"/>
      <b val="1"/>
      <color rgb="000369A1"/>
      <sz val="10.5"/>
    </font>
    <font>
      <name val="Segoe UI"/>
      <b val="1"/>
      <color rgb="001E293B"/>
      <sz val="16"/>
    </font>
    <font>
      <name val="Segoe UI"/>
      <b val="1"/>
      <color rgb="006D28D9"/>
      <sz val="10.5"/>
    </font>
    <font>
      <name val="Segoe UI"/>
      <b val="1"/>
      <color rgb="001E293B"/>
      <sz val="10"/>
    </font>
    <font>
      <name val="Segoe UI"/>
      <b val="1"/>
      <color rgb="001E293B"/>
      <sz val="10.5"/>
    </font>
    <font>
      <name val="Segoe UI"/>
      <b val="1"/>
      <color rgb="000369A1"/>
      <sz val="11"/>
    </font>
    <font>
      <name val="Segoe UI"/>
      <b val="1"/>
      <color rgb="006D28D9"/>
      <sz val="11"/>
    </font>
    <font>
      <name val="Segoe UI"/>
      <b val="1"/>
      <color rgb="000369A1"/>
      <sz val="10"/>
    </font>
  </fonts>
  <fills count="16">
    <fill>
      <patternFill/>
    </fill>
    <fill>
      <patternFill patternType="gray125"/>
    </fill>
    <fill>
      <patternFill patternType="solid">
        <fgColor rgb="001E293B"/>
        <bgColor rgb="001E293B"/>
      </patternFill>
    </fill>
    <fill>
      <patternFill patternType="solid">
        <fgColor rgb="000EA5E9"/>
        <bgColor rgb="000EA5E9"/>
      </patternFill>
    </fill>
    <fill>
      <patternFill patternType="solid">
        <fgColor rgb="00F1F5F9"/>
        <bgColor rgb="00F1F5F9"/>
      </patternFill>
    </fill>
    <fill>
      <patternFill patternType="solid">
        <fgColor rgb="008B5CF6"/>
        <bgColor rgb="008B5CF6"/>
      </patternFill>
    </fill>
    <fill>
      <patternFill patternType="solid">
        <fgColor rgb="00334155"/>
        <bgColor rgb="00334155"/>
      </patternFill>
    </fill>
    <fill>
      <patternFill patternType="solid">
        <fgColor rgb="00F8FAFC"/>
        <bgColor rgb="00F8FAFC"/>
      </patternFill>
    </fill>
    <fill>
      <patternFill patternType="solid">
        <fgColor rgb="00DC2626"/>
        <bgColor rgb="00DC2626"/>
      </patternFill>
    </fill>
    <fill>
      <patternFill patternType="solid">
        <fgColor rgb="00E0F2FE"/>
        <bgColor rgb="00E0F2FE"/>
      </patternFill>
    </fill>
    <fill>
      <patternFill patternType="solid">
        <fgColor rgb="00F3E8FF"/>
        <bgColor rgb="00F3E8FF"/>
      </patternFill>
    </fill>
    <fill>
      <patternFill patternType="solid">
        <fgColor rgb="0010B981"/>
        <bgColor rgb="0010B981"/>
      </patternFill>
    </fill>
    <fill>
      <patternFill patternType="solid">
        <fgColor rgb="00D1FAE5"/>
        <bgColor rgb="00D1FAE5"/>
      </patternFill>
    </fill>
    <fill>
      <patternFill patternType="solid">
        <fgColor rgb="00FEF3C7"/>
        <bgColor rgb="00FEF3C7"/>
      </patternFill>
    </fill>
    <fill>
      <patternFill patternType="solid">
        <fgColor rgb="007C3AED"/>
        <bgColor rgb="007C3AED"/>
      </patternFill>
    </fill>
    <fill>
      <patternFill patternType="solid">
        <fgColor rgb="00F59E0B"/>
        <bgColor rgb="00F59E0B"/>
      </patternFill>
    </fill>
  </fills>
  <borders count="7">
    <border>
      <left/>
      <right/>
      <top/>
      <bottom/>
      <diagonal/>
    </border>
    <border>
      <left style="thin">
        <color rgb="00CBD5E1"/>
      </left>
      <right style="thin">
        <color rgb="00CBD5E1"/>
      </right>
      <top style="thin">
        <color rgb="00CBD5E1"/>
      </top>
      <bottom style="thin">
        <color rgb="00CBD5E1"/>
      </bottom>
    </border>
    <border>
      <left style="medium">
        <color rgb="0010B981"/>
      </left>
      <right style="medium">
        <color rgb="0010B981"/>
      </right>
      <top style="medium">
        <color rgb="0010B981"/>
      </top>
      <bottom style="medium">
        <color rgb="0010B981"/>
      </bottom>
    </border>
    <border>
      <left style="medium">
        <color rgb="00F59E0B"/>
      </left>
      <right style="medium">
        <color rgb="00F59E0B"/>
      </right>
      <top style="medium">
        <color rgb="00F59E0B"/>
      </top>
      <bottom style="medium">
        <color rgb="00F59E0B"/>
      </bottom>
    </border>
    <border>
      <left style="medium">
        <color rgb="004C1D95"/>
      </left>
      <right style="medium">
        <color rgb="004C1D95"/>
      </right>
      <top style="medium">
        <color rgb="004C1D95"/>
      </top>
      <bottom style="medium">
        <color rgb="004C1D95"/>
      </bottom>
    </border>
    <border>
      <left style="medium">
        <color rgb="000EA5E9"/>
      </left>
      <right style="medium">
        <color rgb="000EA5E9"/>
      </right>
      <top style="medium">
        <color rgb="000EA5E9"/>
      </top>
      <bottom style="medium">
        <color rgb="000EA5E9"/>
      </bottom>
    </border>
    <border>
      <left style="medium">
        <color rgb="008B5CF6"/>
      </left>
      <right style="medium">
        <color rgb="008B5CF6"/>
      </right>
      <top style="medium">
        <color rgb="008B5CF6"/>
      </top>
      <bottom style="medium">
        <color rgb="008B5CF6"/>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3" fillId="5" borderId="0" pivotButton="0" quotePrefix="0" xfId="0"/>
    <xf numFmtId="0" fontId="4" fillId="4" borderId="1" applyAlignment="1" pivotButton="0" quotePrefix="0" xfId="0">
      <alignment horizontal="left" vertical="center" wrapText="1"/>
    </xf>
    <xf numFmtId="0" fontId="5" fillId="6" borderId="1" applyAlignment="1" pivotButton="0" quotePrefix="0" xfId="0">
      <alignment horizontal="center" vertical="center"/>
    </xf>
    <xf numFmtId="0" fontId="6" fillId="7" borderId="1" applyAlignment="1" pivotButton="0" quotePrefix="0" xfId="0">
      <alignment horizontal="left" vertical="center"/>
    </xf>
    <xf numFmtId="0" fontId="6" fillId="7" borderId="1" applyAlignment="1" pivotButton="0" quotePrefix="0" xfId="0">
      <alignment horizontal="center"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7" fillId="8" borderId="0" applyAlignment="1" pivotButton="0" quotePrefix="0" xfId="0">
      <alignment horizontal="left" vertical="center"/>
    </xf>
    <xf numFmtId="0" fontId="8" fillId="3" borderId="0" applyAlignment="1" pivotButton="0" quotePrefix="0" xfId="0">
      <alignment horizontal="center" vertical="center"/>
    </xf>
    <xf numFmtId="0" fontId="8" fillId="5" borderId="0" applyAlignment="1" pivotButton="0" quotePrefix="0" xfId="0">
      <alignment horizontal="center" vertical="center"/>
    </xf>
    <xf numFmtId="0" fontId="8" fillId="11" borderId="0" applyAlignment="1" pivotButton="0" quotePrefix="0" xfId="0">
      <alignment horizontal="center" vertical="center"/>
    </xf>
    <xf numFmtId="0" fontId="9" fillId="9" borderId="1" applyAlignment="1" pivotButton="0" quotePrefix="0" xfId="0">
      <alignment horizontal="center" vertical="center"/>
    </xf>
    <xf numFmtId="0" fontId="9" fillId="10" borderId="1" applyAlignment="1" pivotButton="0" quotePrefix="0" xfId="0">
      <alignment horizontal="center" vertical="center"/>
    </xf>
    <xf numFmtId="0" fontId="10" fillId="12" borderId="1" applyAlignment="1" pivotButton="0" quotePrefix="0" xfId="0">
      <alignment horizontal="center" vertical="center"/>
    </xf>
    <xf numFmtId="0" fontId="7" fillId="11" borderId="0" applyAlignment="1" pivotButton="0" quotePrefix="0" xfId="0">
      <alignment horizontal="left" vertical="center"/>
    </xf>
    <xf numFmtId="0" fontId="11" fillId="0" borderId="0" pivotButton="0" quotePrefix="0" xfId="0"/>
    <xf numFmtId="0" fontId="12" fillId="3" borderId="0" applyAlignment="1" pivotButton="0" quotePrefix="0" xfId="0">
      <alignment horizontal="center" vertical="center"/>
    </xf>
    <xf numFmtId="0" fontId="12" fillId="5" borderId="0" applyAlignment="1" pivotButton="0" quotePrefix="0" xfId="0">
      <alignment horizontal="center" vertical="center"/>
    </xf>
    <xf numFmtId="0" fontId="12" fillId="11" borderId="0" applyAlignment="1" pivotButton="0" quotePrefix="0" xfId="0">
      <alignment horizontal="center" vertical="center"/>
    </xf>
    <xf numFmtId="0" fontId="13" fillId="9" borderId="1" applyAlignment="1" pivotButton="0" quotePrefix="0" xfId="0">
      <alignment horizontal="center" vertical="center"/>
    </xf>
    <xf numFmtId="0" fontId="15" fillId="10" borderId="1" applyAlignment="1" pivotButton="0" quotePrefix="0" xfId="0">
      <alignment horizontal="center" vertical="center"/>
    </xf>
    <xf numFmtId="0" fontId="10" fillId="12" borderId="2" applyAlignment="1" pivotButton="0" quotePrefix="0" xfId="0">
      <alignment horizontal="center" vertical="center"/>
    </xf>
    <xf numFmtId="0" fontId="14" fillId="0" borderId="0" applyAlignment="1" pivotButton="0" quotePrefix="0" xfId="0">
      <alignment horizontal="center" vertical="center"/>
    </xf>
    <xf numFmtId="0" fontId="16" fillId="13" borderId="3" applyAlignment="1" pivotButton="0" quotePrefix="0" xfId="0">
      <alignment horizontal="left" vertical="center" wrapText="1"/>
    </xf>
    <xf numFmtId="0" fontId="7" fillId="3" borderId="0" applyAlignment="1" pivotButton="0" quotePrefix="0" xfId="0">
      <alignment horizontal="left" vertical="center"/>
    </xf>
    <xf numFmtId="0" fontId="7" fillId="14" borderId="4" applyAlignment="1" pivotButton="0" quotePrefix="0" xfId="0">
      <alignment horizontal="center" vertical="center"/>
    </xf>
    <xf numFmtId="0" fontId="15" fillId="0" borderId="0" applyAlignment="1" pivotButton="0" quotePrefix="0" xfId="0">
      <alignment horizontal="left" vertical="center"/>
    </xf>
    <xf numFmtId="0" fontId="12" fillId="6" borderId="0" applyAlignment="1" pivotButton="0" quotePrefix="0" xfId="0">
      <alignment horizontal="center" vertical="center"/>
    </xf>
    <xf numFmtId="0" fontId="17" fillId="4" borderId="1" applyAlignment="1" pivotButton="0" quotePrefix="0" xfId="0">
      <alignment horizontal="center" vertical="center"/>
    </xf>
    <xf numFmtId="0" fontId="18" fillId="9" borderId="5" applyAlignment="1" pivotButton="0" quotePrefix="0" xfId="0">
      <alignment horizontal="center" vertical="center"/>
    </xf>
    <xf numFmtId="0" fontId="19" fillId="10" borderId="6" applyAlignment="1" pivotButton="0" quotePrefix="0" xfId="0">
      <alignment horizontal="center" vertical="center"/>
    </xf>
    <xf numFmtId="0" fontId="7" fillId="15" borderId="0" applyAlignment="1" pivotButton="0" quotePrefix="0" xfId="0">
      <alignment horizontal="left" vertical="center"/>
    </xf>
    <xf numFmtId="0" fontId="5" fillId="2" borderId="1" applyAlignment="1" pivotButton="0" quotePrefix="0" xfId="0">
      <alignment horizontal="center" vertical="center"/>
    </xf>
    <xf numFmtId="164" fontId="20" fillId="7" borderId="1" applyAlignment="1" pivotButton="0" quotePrefix="0" xfId="0">
      <alignment horizontal="center" vertical="center"/>
    </xf>
    <xf numFmtId="164" fontId="2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showGridLines="1" workbookViewId="0">
      <selection activeCell="A1" sqref="A1"/>
    </sheetView>
  </sheetViews>
  <sheetFormatPr baseColWidth="8" defaultRowHeight="15"/>
  <cols>
    <col width="91" customWidth="1" min="1" max="1"/>
    <col width="14" customWidth="1" min="2" max="2"/>
    <col width="14" customWidth="1" min="3" max="3"/>
    <col width="14" customWidth="1" min="4" max="4"/>
    <col width="14" customWidth="1" min="5" max="5"/>
    <col width="14" customWidth="1" min="6" max="6"/>
    <col width="14" customWidth="1" min="7" max="7"/>
    <col width="56" customWidth="1" min="8" max="8"/>
    <col width="25" customWidth="1" min="9" max="9"/>
    <col width="21" customWidth="1" min="10" max="10"/>
    <col width="19" customWidth="1" min="11" max="11"/>
    <col width="19" customWidth="1" min="12" max="12"/>
    <col width="23" customWidth="1" min="13" max="13"/>
    <col width="14" customWidth="1" min="14" max="14"/>
  </cols>
  <sheetData>
    <row r="1">
      <c r="A1" s="1" t="inlineStr">
        <is>
          <t xml:space="preserve">  GPU ARCHITECTURE &amp; HARDWARE HIERARCHY SIMULATOR</t>
        </is>
      </c>
    </row>
    <row r="2"/>
    <row r="3">
      <c r="A3" s="2" t="inlineStr">
        <is>
          <t>Why GPUs excel at Matrix Multiplication: Massive Parallelism + Hierarchical Memory Model</t>
        </is>
      </c>
    </row>
    <row r="4"/>
    <row r="5">
      <c r="A5" s="3" t="inlineStr">
        <is>
          <t xml:space="preserve">  1. CPU vs GPU: The Excel Mental Model</t>
        </is>
      </c>
      <c r="H5" s="4" t="inlineStr">
        <is>
          <t xml:space="preserve">  2. GPU Memory Hierarchy &amp; Latency (The Memory Wall)</t>
        </is>
      </c>
    </row>
    <row r="6">
      <c r="A6" s="5" t="inlineStr">
        <is>
          <t>• CPU Mental Model (Sequential Worker)
Imagine 1 person sitting at Excel filling 1 cell at a time with a formula:
for i in 1..M: for j in 1..N: cell[i,j] = sumproduct(row_i, col_j).
High clock speed (5 GHz), huge L3 cache, but only 8-16 workers.</t>
        </is>
      </c>
      <c r="H6" s="6" t="inlineStr">
        <is>
          <t>Memory Tier</t>
        </is>
      </c>
      <c r="I6" s="6" t="inlineStr">
        <is>
          <t>Location</t>
        </is>
      </c>
      <c r="J6" s="6" t="inlineStr">
        <is>
          <t>Capacity</t>
        </is>
      </c>
      <c r="K6" s="6" t="inlineStr">
        <is>
          <t>Latency (Cycles)</t>
        </is>
      </c>
      <c r="L6" s="6" t="inlineStr">
        <is>
          <t>Bandwidth</t>
        </is>
      </c>
      <c r="M6" s="6" t="inlineStr">
        <is>
          <t>Scope</t>
        </is>
      </c>
    </row>
    <row r="7">
      <c r="H7" s="7" t="inlineStr">
        <is>
          <t>Registers</t>
        </is>
      </c>
      <c r="I7" s="7" t="inlineStr">
        <is>
          <t>On-Chip (Thread)</t>
        </is>
      </c>
      <c r="J7" s="8" t="inlineStr">
        <is>
          <t>~64 KB / SM</t>
        </is>
      </c>
      <c r="K7" s="8" t="inlineStr">
        <is>
          <t>0-1 cycles</t>
        </is>
      </c>
      <c r="L7" s="8" t="inlineStr">
        <is>
          <t>Ultra (&gt;30 TB/s)</t>
        </is>
      </c>
      <c r="M7" s="7" t="inlineStr">
        <is>
          <t>Private per Thread</t>
        </is>
      </c>
    </row>
    <row r="8">
      <c r="H8" s="9" t="inlineStr">
        <is>
          <t>Shared Memory (SRAM)</t>
        </is>
      </c>
      <c r="I8" s="9" t="inlineStr">
        <is>
          <t>On-Chip (SM)</t>
        </is>
      </c>
      <c r="J8" s="10" t="inlineStr">
        <is>
          <t>64-228 KB / SM</t>
        </is>
      </c>
      <c r="K8" s="10" t="inlineStr">
        <is>
          <t>20-30 cycles</t>
        </is>
      </c>
      <c r="L8" s="10" t="inlineStr">
        <is>
          <t>~12-19 TB/s</t>
        </is>
      </c>
      <c r="M8" s="9" t="inlineStr">
        <is>
          <t>Shared in Block</t>
        </is>
      </c>
    </row>
    <row r="9">
      <c r="A9" s="5" t="inlineStr">
        <is>
          <t>• GPU Mental Model (Massive Parallel Army)
Imagine 10,000 workers where EACH WORKER is assigned to EXACTLY ONE CELL!
All workers calculate their cell's formula at the EXACT same instant in lockstep.
Moderate clock speed (1.8-2.5 GHz), but massive throughput (thousands of ALUs).</t>
        </is>
      </c>
      <c r="H9" s="7" t="inlineStr">
        <is>
          <t>L1 Cache</t>
        </is>
      </c>
      <c r="I9" s="7" t="inlineStr">
        <is>
          <t>On-Chip (SM)</t>
        </is>
      </c>
      <c r="J9" s="8" t="inlineStr">
        <is>
          <t>Integrated w/ SMEM</t>
        </is>
      </c>
      <c r="K9" s="8" t="inlineStr">
        <is>
          <t>20-30 cycles</t>
        </is>
      </c>
      <c r="L9" s="8" t="inlineStr">
        <is>
          <t>~12-19 TB/s</t>
        </is>
      </c>
      <c r="M9" s="7" t="inlineStr">
        <is>
          <t>SM / Streaming</t>
        </is>
      </c>
    </row>
    <row r="10">
      <c r="H10" s="9" t="inlineStr">
        <is>
          <t>L2 Cache</t>
        </is>
      </c>
      <c r="I10" s="9" t="inlineStr">
        <is>
          <t>On-Chip (Cross-SM)</t>
        </is>
      </c>
      <c r="J10" s="10" t="inlineStr">
        <is>
          <t>32-96 MB (Chip)</t>
        </is>
      </c>
      <c r="K10" s="10" t="inlineStr">
        <is>
          <t>150-200 cycles</t>
        </is>
      </c>
      <c r="L10" s="10" t="inlineStr">
        <is>
          <t>~3-5 TB/s</t>
        </is>
      </c>
      <c r="M10" s="9" t="inlineStr">
        <is>
          <t>All SMs on GPU</t>
        </is>
      </c>
    </row>
    <row r="11">
      <c r="H11" s="7" t="inlineStr">
        <is>
          <t>Global Memory (VRAM)</t>
        </is>
      </c>
      <c r="I11" s="7" t="inlineStr">
        <is>
          <t>Off-Chip (HBM3/GDDR6X)</t>
        </is>
      </c>
      <c r="J11" s="8" t="inlineStr">
        <is>
          <t>24-80 GB</t>
        </is>
      </c>
      <c r="K11" s="8" t="inlineStr">
        <is>
          <t>400-800 cycles</t>
        </is>
      </c>
      <c r="L11" s="8" t="inlineStr">
        <is>
          <t>1.0 - 3.3 TB/s</t>
        </is>
      </c>
      <c r="M11" s="7" t="inlineStr">
        <is>
          <t>Global (All Threads)</t>
        </is>
      </c>
    </row>
  </sheetData>
  <mergeCells count="6">
    <mergeCell ref="A1:N2"/>
    <mergeCell ref="H5:N5"/>
    <mergeCell ref="A3:N3"/>
    <mergeCell ref="A6:F7"/>
    <mergeCell ref="A5:F5"/>
    <mergeCell ref="A9: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showGridLines="1" workbookViewId="0">
      <selection activeCell="A1" sqref="A1"/>
    </sheetView>
  </sheetViews>
  <sheetFormatPr baseColWidth="8" defaultRowHeight="15"/>
  <cols>
    <col width="66" customWidth="1" min="1" max="1"/>
    <col width="27" customWidth="1" min="2" max="2"/>
    <col width="14" customWidth="1" min="3" max="3"/>
    <col width="14" customWidth="1" min="4" max="4"/>
    <col width="14" customWidth="1" min="5" max="5"/>
    <col width="14" customWidth="1" min="6" max="6"/>
    <col width="27" customWidth="1" min="7" max="7"/>
    <col width="14" customWidth="1" min="8" max="8"/>
    <col width="14" customWidth="1" min="9" max="9"/>
    <col width="14" customWidth="1" min="10" max="10"/>
    <col width="14" customWidth="1" min="11" max="11"/>
    <col width="33" customWidth="1" min="12" max="12"/>
    <col width="30" customWidth="1" min="13" max="13"/>
    <col width="30" customWidth="1" min="14" max="14"/>
    <col width="30" customWidth="1" min="15" max="15"/>
  </cols>
  <sheetData>
    <row r="1">
      <c r="A1" s="11" t="inlineStr">
        <is>
          <t xml:space="preserve">  NAIVE GPU MATRIX MULTIPLICATION (1 Thread = 1 Output Element)</t>
        </is>
      </c>
    </row>
    <row r="2"/>
    <row r="3"/>
    <row r="4"/>
    <row r="5">
      <c r="B5" s="12" t="inlineStr">
        <is>
          <t>Matrix A (Global Memory)</t>
        </is>
      </c>
      <c r="G5" s="13" t="inlineStr">
        <is>
          <t>Matrix B (Global Memory)</t>
        </is>
      </c>
      <c r="L5" s="14" t="inlineStr">
        <is>
          <t>Matrix C = A x B (Thread Grid)</t>
        </is>
      </c>
    </row>
    <row r="6">
      <c r="B6" s="15" t="n">
        <v>1</v>
      </c>
      <c r="C6" s="15" t="n">
        <v>2</v>
      </c>
      <c r="D6" s="15" t="n">
        <v>3</v>
      </c>
      <c r="E6" s="15" t="n">
        <v>4</v>
      </c>
      <c r="G6" s="16" t="n">
        <v>2</v>
      </c>
      <c r="H6" s="16" t="n">
        <v>0</v>
      </c>
      <c r="I6" s="16" t="n">
        <v>1</v>
      </c>
      <c r="J6" s="16" t="n">
        <v>3</v>
      </c>
      <c r="L6" s="17">
        <f>SUMPRODUCT(B6:E6, G$6:G$9)</f>
        <v/>
      </c>
      <c r="M6" s="17">
        <f>SUMPRODUCT(B6:E6, H$6:H$9)</f>
        <v/>
      </c>
      <c r="N6" s="17">
        <f>SUMPRODUCT(B6:E6, I$6:I$9)</f>
        <v/>
      </c>
      <c r="O6" s="17">
        <f>SUMPRODUCT(B6:E6, J$6:J$9)</f>
        <v/>
      </c>
    </row>
    <row r="7">
      <c r="B7" s="15" t="n">
        <v>5</v>
      </c>
      <c r="C7" s="15" t="n">
        <v>6</v>
      </c>
      <c r="D7" s="15" t="n">
        <v>7</v>
      </c>
      <c r="E7" s="15" t="n">
        <v>8</v>
      </c>
      <c r="G7" s="16" t="n">
        <v>1</v>
      </c>
      <c r="H7" s="16" t="n">
        <v>2</v>
      </c>
      <c r="I7" s="16" t="n">
        <v>0</v>
      </c>
      <c r="J7" s="16" t="n">
        <v>1</v>
      </c>
      <c r="L7" s="17">
        <f>SUMPRODUCT(B7:E7, G$6:G$9)</f>
        <v/>
      </c>
      <c r="M7" s="17">
        <f>SUMPRODUCT(B7:E7, H$6:H$9)</f>
        <v/>
      </c>
      <c r="N7" s="17">
        <f>SUMPRODUCT(B7:E7, I$6:I$9)</f>
        <v/>
      </c>
      <c r="O7" s="17">
        <f>SUMPRODUCT(B7:E7, J$6:J$9)</f>
        <v/>
      </c>
    </row>
    <row r="8">
      <c r="B8" s="15" t="n">
        <v>9</v>
      </c>
      <c r="C8" s="15" t="n">
        <v>1</v>
      </c>
      <c r="D8" s="15" t="n">
        <v>2</v>
      </c>
      <c r="E8" s="15" t="n">
        <v>3</v>
      </c>
      <c r="G8" s="16" t="n">
        <v>3</v>
      </c>
      <c r="H8" s="16" t="n">
        <v>1</v>
      </c>
      <c r="I8" s="16" t="n">
        <v>2</v>
      </c>
      <c r="J8" s="16" t="n">
        <v>0</v>
      </c>
      <c r="L8" s="17">
        <f>SUMPRODUCT(B8:E8, G$6:G$9)</f>
        <v/>
      </c>
      <c r="M8" s="17">
        <f>SUMPRODUCT(B8:E8, H$6:H$9)</f>
        <v/>
      </c>
      <c r="N8" s="17">
        <f>SUMPRODUCT(B8:E8, I$6:I$9)</f>
        <v/>
      </c>
      <c r="O8" s="17">
        <f>SUMPRODUCT(B8:E8, J$6:J$9)</f>
        <v/>
      </c>
    </row>
    <row r="9">
      <c r="B9" s="15" t="n">
        <v>4</v>
      </c>
      <c r="C9" s="15" t="n">
        <v>5</v>
      </c>
      <c r="D9" s="15" t="n">
        <v>6</v>
      </c>
      <c r="E9" s="15" t="n">
        <v>7</v>
      </c>
      <c r="G9" s="16" t="n">
        <v>0</v>
      </c>
      <c r="H9" s="16" t="n">
        <v>3</v>
      </c>
      <c r="I9" s="16" t="n">
        <v>1</v>
      </c>
      <c r="J9" s="16" t="n">
        <v>2</v>
      </c>
      <c r="L9" s="17">
        <f>SUMPRODUCT(B9:E9, G$6:G$9)</f>
        <v/>
      </c>
      <c r="M9" s="17">
        <f>SUMPRODUCT(B9:E9, H$6:H$9)</f>
        <v/>
      </c>
      <c r="N9" s="17">
        <f>SUMPRODUCT(B9:E9, I$6:I$9)</f>
        <v/>
      </c>
      <c r="O9" s="17">
        <f>SUMPRODUCT(B9:E9, J$6:J$9)</f>
        <v/>
      </c>
    </row>
  </sheetData>
  <mergeCells count="4">
    <mergeCell ref="L5:O5"/>
    <mergeCell ref="G5:J5"/>
    <mergeCell ref="B5:E5"/>
    <mergeCell ref="A1: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8"/>
  <sheetViews>
    <sheetView showGridLines="1" workbookViewId="0">
      <selection activeCell="A1" sqref="A1"/>
    </sheetView>
  </sheetViews>
  <sheetFormatPr baseColWidth="8" defaultRowHeight="15"/>
  <cols>
    <col width="123" customWidth="1" min="1" max="1"/>
    <col width="79" customWidth="1" min="2" max="2"/>
    <col width="79" customWidth="1" min="3" max="3"/>
    <col width="79" customWidth="1" min="4" max="4"/>
    <col width="14" customWidth="1" min="5" max="5"/>
    <col width="79" customWidth="1" min="6" max="6"/>
    <col width="79" customWidth="1" min="7" max="7"/>
    <col width="79" customWidth="1" min="8" max="8"/>
    <col width="79" customWidth="1" min="9" max="9"/>
    <col width="14" customWidth="1" min="10" max="10"/>
    <col width="41" customWidth="1" min="11" max="11"/>
    <col width="14" customWidth="1" min="12" max="12"/>
    <col width="14" customWidth="1" min="13" max="13"/>
    <col width="14" customWidth="1" min="14" max="14"/>
    <col width="14" customWidth="1" min="15" max="15"/>
    <col width="14" customWidth="1" min="16" max="16"/>
  </cols>
  <sheetData>
    <row r="1">
      <c r="A1" s="18" t="inlineStr">
        <is>
          <t xml:space="preserve">  BLOCK GEMM: PARTIAL PRODUCTS &amp; REGISTER REDUCTION</t>
        </is>
      </c>
    </row>
    <row r="2"/>
    <row r="3">
      <c r="A3" s="19" t="inlineStr">
        <is>
          <t>How Reduction Works: Matrix C is formed by summing Sub-Matrix Partial Products: C = Partial_Tile_0 + Partial_Tile_1</t>
        </is>
      </c>
    </row>
    <row r="4"/>
    <row r="5">
      <c r="A5" s="20" t="inlineStr">
        <is>
          <t>Partial Product Matrix P^(0) (k=0..1)</t>
        </is>
      </c>
      <c r="F5" s="21" t="inlineStr">
        <is>
          <t>Partial Product Matrix P^(1) (k=2..3)</t>
        </is>
      </c>
      <c r="K5" s="22" t="inlineStr">
        <is>
          <t>Final Reduced Matrix C = P^(0) + P^(1)</t>
        </is>
      </c>
    </row>
    <row r="6">
      <c r="A6" s="23">
        <f>'1_Naive_GEMM'!B6*'1_Naive_GEMM'!G$6 + '1_Naive_GEMM'!C6*'1_Naive_GEMM'!G$7</f>
        <v/>
      </c>
      <c r="B6" s="23">
        <f>'1_Naive_GEMM'!B6*'1_Naive_GEMM'!H$6 + '1_Naive_GEMM'!C6*'1_Naive_GEMM'!H$7</f>
        <v/>
      </c>
      <c r="C6" s="23">
        <f>'1_Naive_GEMM'!B6*'1_Naive_GEMM'!I$6 + '1_Naive_GEMM'!C6*'1_Naive_GEMM'!I$7</f>
        <v/>
      </c>
      <c r="D6" s="23">
        <f>'1_Naive_GEMM'!B6*'1_Naive_GEMM'!J$6 + '1_Naive_GEMM'!C6*'1_Naive_GEMM'!J$7</f>
        <v/>
      </c>
      <c r="F6" s="24">
        <f>'1_Naive_GEMM'!D6*'1_Naive_GEMM'!G$8 + '1_Naive_GEMM'!E6*'1_Naive_GEMM'!G$9</f>
        <v/>
      </c>
      <c r="G6" s="24">
        <f>'1_Naive_GEMM'!D6*'1_Naive_GEMM'!H$8 + '1_Naive_GEMM'!E6*'1_Naive_GEMM'!H$9</f>
        <v/>
      </c>
      <c r="H6" s="24">
        <f>'1_Naive_GEMM'!D6*'1_Naive_GEMM'!I$8 + '1_Naive_GEMM'!E6*'1_Naive_GEMM'!I$9</f>
        <v/>
      </c>
      <c r="I6" s="24">
        <f>'1_Naive_GEMM'!D6*'1_Naive_GEMM'!J$8 + '1_Naive_GEMM'!E6*'1_Naive_GEMM'!J$9</f>
        <v/>
      </c>
      <c r="K6" s="25">
        <f>A6 + F6</f>
        <v/>
      </c>
      <c r="L6" s="25">
        <f>B6 + G6</f>
        <v/>
      </c>
      <c r="M6" s="25">
        <f>C6 + H6</f>
        <v/>
      </c>
      <c r="N6" s="25">
        <f>D6 + I6</f>
        <v/>
      </c>
    </row>
    <row r="7">
      <c r="A7" s="23">
        <f>'1_Naive_GEMM'!B7*'1_Naive_GEMM'!G$6 + '1_Naive_GEMM'!C7*'1_Naive_GEMM'!G$7</f>
        <v/>
      </c>
      <c r="B7" s="23">
        <f>'1_Naive_GEMM'!B7*'1_Naive_GEMM'!H$6 + '1_Naive_GEMM'!C7*'1_Naive_GEMM'!H$7</f>
        <v/>
      </c>
      <c r="C7" s="23">
        <f>'1_Naive_GEMM'!B7*'1_Naive_GEMM'!I$6 + '1_Naive_GEMM'!C7*'1_Naive_GEMM'!I$7</f>
        <v/>
      </c>
      <c r="D7" s="23">
        <f>'1_Naive_GEMM'!B7*'1_Naive_GEMM'!J$6 + '1_Naive_GEMM'!C7*'1_Naive_GEMM'!J$7</f>
        <v/>
      </c>
      <c r="E7" s="26" t="inlineStr">
        <is>
          <t>➕</t>
        </is>
      </c>
      <c r="F7" s="24">
        <f>'1_Naive_GEMM'!D7*'1_Naive_GEMM'!G$8 + '1_Naive_GEMM'!E7*'1_Naive_GEMM'!G$9</f>
        <v/>
      </c>
      <c r="G7" s="24">
        <f>'1_Naive_GEMM'!D7*'1_Naive_GEMM'!H$8 + '1_Naive_GEMM'!E7*'1_Naive_GEMM'!H$9</f>
        <v/>
      </c>
      <c r="H7" s="24">
        <f>'1_Naive_GEMM'!D7*'1_Naive_GEMM'!I$8 + '1_Naive_GEMM'!E7*'1_Naive_GEMM'!I$9</f>
        <v/>
      </c>
      <c r="I7" s="24">
        <f>'1_Naive_GEMM'!D7*'1_Naive_GEMM'!J$8 + '1_Naive_GEMM'!E7*'1_Naive_GEMM'!J$9</f>
        <v/>
      </c>
      <c r="J7" s="26" t="inlineStr">
        <is>
          <t>🟰</t>
        </is>
      </c>
      <c r="K7" s="25">
        <f>A7 + F7</f>
        <v/>
      </c>
      <c r="L7" s="25">
        <f>B7 + G7</f>
        <v/>
      </c>
      <c r="M7" s="25">
        <f>C7 + H7</f>
        <v/>
      </c>
      <c r="N7" s="25">
        <f>D7 + I7</f>
        <v/>
      </c>
    </row>
    <row r="8">
      <c r="A8" s="23">
        <f>'1_Naive_GEMM'!B8*'1_Naive_GEMM'!G$6 + '1_Naive_GEMM'!C8*'1_Naive_GEMM'!G$7</f>
        <v/>
      </c>
      <c r="B8" s="23">
        <f>'1_Naive_GEMM'!B8*'1_Naive_GEMM'!H$6 + '1_Naive_GEMM'!C8*'1_Naive_GEMM'!H$7</f>
        <v/>
      </c>
      <c r="C8" s="23">
        <f>'1_Naive_GEMM'!B8*'1_Naive_GEMM'!I$6 + '1_Naive_GEMM'!C8*'1_Naive_GEMM'!I$7</f>
        <v/>
      </c>
      <c r="D8" s="23">
        <f>'1_Naive_GEMM'!B8*'1_Naive_GEMM'!J$6 + '1_Naive_GEMM'!C8*'1_Naive_GEMM'!J$7</f>
        <v/>
      </c>
      <c r="F8" s="24">
        <f>'1_Naive_GEMM'!D8*'1_Naive_GEMM'!G$8 + '1_Naive_GEMM'!E8*'1_Naive_GEMM'!G$9</f>
        <v/>
      </c>
      <c r="G8" s="24">
        <f>'1_Naive_GEMM'!D8*'1_Naive_GEMM'!H$8 + '1_Naive_GEMM'!E8*'1_Naive_GEMM'!H$9</f>
        <v/>
      </c>
      <c r="H8" s="24">
        <f>'1_Naive_GEMM'!D8*'1_Naive_GEMM'!I$8 + '1_Naive_GEMM'!E8*'1_Naive_GEMM'!I$9</f>
        <v/>
      </c>
      <c r="I8" s="24">
        <f>'1_Naive_GEMM'!D8*'1_Naive_GEMM'!J$8 + '1_Naive_GEMM'!E8*'1_Naive_GEMM'!J$9</f>
        <v/>
      </c>
      <c r="K8" s="25">
        <f>A8 + F8</f>
        <v/>
      </c>
      <c r="L8" s="25">
        <f>B8 + G8</f>
        <v/>
      </c>
      <c r="M8" s="25">
        <f>C8 + H8</f>
        <v/>
      </c>
      <c r="N8" s="25">
        <f>D8 + I8</f>
        <v/>
      </c>
    </row>
    <row r="9">
      <c r="A9" s="23">
        <f>'1_Naive_GEMM'!B9*'1_Naive_GEMM'!G$6 + '1_Naive_GEMM'!C9*'1_Naive_GEMM'!G$7</f>
        <v/>
      </c>
      <c r="B9" s="23">
        <f>'1_Naive_GEMM'!B9*'1_Naive_GEMM'!H$6 + '1_Naive_GEMM'!C9*'1_Naive_GEMM'!H$7</f>
        <v/>
      </c>
      <c r="C9" s="23">
        <f>'1_Naive_GEMM'!B9*'1_Naive_GEMM'!I$6 + '1_Naive_GEMM'!C9*'1_Naive_GEMM'!I$7</f>
        <v/>
      </c>
      <c r="D9" s="23">
        <f>'1_Naive_GEMM'!B9*'1_Naive_GEMM'!J$6 + '1_Naive_GEMM'!C9*'1_Naive_GEMM'!J$7</f>
        <v/>
      </c>
      <c r="F9" s="24">
        <f>'1_Naive_GEMM'!D9*'1_Naive_GEMM'!G$8 + '1_Naive_GEMM'!E9*'1_Naive_GEMM'!G$9</f>
        <v/>
      </c>
      <c r="G9" s="24">
        <f>'1_Naive_GEMM'!D9*'1_Naive_GEMM'!H$8 + '1_Naive_GEMM'!E9*'1_Naive_GEMM'!H$9</f>
        <v/>
      </c>
      <c r="H9" s="24">
        <f>'1_Naive_GEMM'!D9*'1_Naive_GEMM'!I$8 + '1_Naive_GEMM'!E9*'1_Naive_GEMM'!I$9</f>
        <v/>
      </c>
      <c r="I9" s="24">
        <f>'1_Naive_GEMM'!D9*'1_Naive_GEMM'!J$8 + '1_Naive_GEMM'!E9*'1_Naive_GEMM'!J$9</f>
        <v/>
      </c>
      <c r="K9" s="25">
        <f>A9 + F9</f>
        <v/>
      </c>
      <c r="L9" s="25">
        <f>B9 + G9</f>
        <v/>
      </c>
      <c r="M9" s="25">
        <f>C9 + H9</f>
        <v/>
      </c>
      <c r="N9" s="25">
        <f>D9 + I9</f>
        <v/>
      </c>
    </row>
    <row r="10"/>
    <row r="11"/>
    <row r="12">
      <c r="A12" s="27" t="inlineStr">
        <is>
          <t>🔬 HOW REDUCTION &amp; PARTIAL PRODUCTS WORK IN HARDWARE:
1. Thread Registers as Accumulators: Each CUDA thread initializes float Pvalue = 0.0f.
2. Sub-Matrix Tiling: The global K-dimension (4) is divided into tiles of size TILE_WIDTH (2).
3. Loop m=0: All 4 Thread Blocks compute Partial Product P^(0) from Shared Memory SRAM and add into Pvalue.
4. Loop m=1: All 4 Thread Blocks compute Partial Product P^(1) from Shared Memory SRAM and add into Pvalue.
5. Final Commit: The register reduction is complete (Pvalue = P^(0) + P^(1)). Each thread issues a coalesced write to C.
💡 Result: 0 memory stalls, maximum arithmetic intensity, and seamless scalability to any matrix size!</t>
        </is>
      </c>
    </row>
    <row r="13"/>
    <row r="14"/>
    <row r="15"/>
    <row r="16"/>
    <row r="17"/>
    <row r="18"/>
  </sheetData>
  <mergeCells count="6">
    <mergeCell ref="A5:D5"/>
    <mergeCell ref="A12:N18"/>
    <mergeCell ref="A1:P2"/>
    <mergeCell ref="A3:P3"/>
    <mergeCell ref="F5:I5"/>
    <mergeCell ref="K5:N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
  <sheetViews>
    <sheetView showGridLines="1" workbookViewId="0">
      <selection activeCell="A1" sqref="A1"/>
    </sheetView>
  </sheetViews>
  <sheetFormatPr baseColWidth="8" defaultRowHeight="15"/>
  <cols>
    <col width="49" customWidth="1" min="1" max="1"/>
    <col width="14" customWidth="1" min="2" max="2"/>
    <col width="14" customWidth="1" min="3" max="3"/>
    <col width="14" customWidth="1" min="4" max="4"/>
    <col width="114" customWidth="1" min="5" max="5"/>
    <col width="27" customWidth="1" min="6" max="6"/>
    <col width="14" customWidth="1" min="7" max="7"/>
    <col width="14" customWidth="1" min="8" max="8"/>
    <col width="14" customWidth="1" min="9" max="9"/>
    <col width="14" customWidth="1" min="10" max="10"/>
    <col width="39" customWidth="1" min="11" max="11"/>
    <col width="39" customWidth="1" min="12" max="12"/>
    <col width="14" customWidth="1" min="13" max="13"/>
    <col width="40" customWidth="1" min="14" max="14"/>
    <col width="40" customWidth="1" min="15" max="15"/>
    <col width="14" customWidth="1" min="16" max="16"/>
  </cols>
  <sheetData>
    <row r="1">
      <c r="A1" s="28" t="inlineStr">
        <is>
          <t xml:space="preserve">  TILED MATRIX MULTIPLICATION IN SHARED MEMORY</t>
        </is>
      </c>
    </row>
    <row r="2"/>
    <row r="3"/>
    <row r="4">
      <c r="A4" s="13" t="inlineStr">
        <is>
          <t>🎮 INTERACTIVE STEP:</t>
        </is>
      </c>
      <c r="D4" s="29" t="n">
        <v>1</v>
      </c>
      <c r="E4" s="30" t="inlineStr">
        <is>
          <t>⬅ Change cell D4 to '1' (Tile Step 0: k=0..1) or '2' (Tile Step 1: k=2..3). Watch Shared Memory buffers update!</t>
        </is>
      </c>
    </row>
    <row r="5"/>
    <row r="6">
      <c r="A6" s="31" t="inlineStr">
        <is>
          <t>Matrix A (Global Memory)</t>
        </is>
      </c>
      <c r="F6" s="31" t="inlineStr">
        <is>
          <t>Matrix B (Global Memory)</t>
        </is>
      </c>
      <c r="K6" s="20" t="inlineStr">
        <is>
          <t>As (SMEM SRAM)</t>
        </is>
      </c>
      <c r="N6" s="21" t="inlineStr">
        <is>
          <t>Bs (SMEM SRAM)</t>
        </is>
      </c>
    </row>
    <row r="7">
      <c r="A7" s="32" t="n">
        <v>1</v>
      </c>
      <c r="B7" s="32" t="n">
        <v>2</v>
      </c>
      <c r="C7" s="32" t="n">
        <v>3</v>
      </c>
      <c r="D7" s="32" t="n">
        <v>4</v>
      </c>
      <c r="F7" s="32" t="n">
        <v>2</v>
      </c>
      <c r="G7" s="32" t="n">
        <v>0</v>
      </c>
      <c r="H7" s="32" t="n">
        <v>1</v>
      </c>
      <c r="I7" s="32" t="n">
        <v>3</v>
      </c>
      <c r="K7" s="33">
        <f>INDEX($A$7:$D$8, 1, ($D$4-1)*2 + 1)</f>
        <v/>
      </c>
      <c r="L7" s="33">
        <f>INDEX($A$7:$D$8, 1, ($D$4-1)*2 + 2)</f>
        <v/>
      </c>
      <c r="N7" s="34">
        <f>INDEX($F$7:$I$10, ($D$4-1)*2 + 1, 1)</f>
        <v/>
      </c>
      <c r="O7" s="34">
        <f>INDEX($F$7:$I$10, ($D$4-1)*2 + 1, 2)</f>
        <v/>
      </c>
    </row>
    <row r="8">
      <c r="A8" s="32" t="n">
        <v>5</v>
      </c>
      <c r="B8" s="32" t="n">
        <v>6</v>
      </c>
      <c r="C8" s="32" t="n">
        <v>7</v>
      </c>
      <c r="D8" s="32" t="n">
        <v>8</v>
      </c>
      <c r="F8" s="32" t="n">
        <v>1</v>
      </c>
      <c r="G8" s="32" t="n">
        <v>2</v>
      </c>
      <c r="H8" s="32" t="n">
        <v>0</v>
      </c>
      <c r="I8" s="32" t="n">
        <v>1</v>
      </c>
      <c r="K8" s="33">
        <f>INDEX($A$7:$D$8, 2, ($D$4-1)*2 + 1)</f>
        <v/>
      </c>
      <c r="L8" s="33">
        <f>INDEX($A$7:$D$8, 2, ($D$4-1)*2 + 2)</f>
        <v/>
      </c>
      <c r="N8" s="34">
        <f>INDEX($F$7:$I$10, ($D$4-1)*2 + 2, 1)</f>
        <v/>
      </c>
      <c r="O8" s="34">
        <f>INDEX($F$7:$I$10, ($D$4-1)*2 + 2, 2)</f>
        <v/>
      </c>
    </row>
    <row r="9">
      <c r="A9" s="32" t="n">
        <v>9</v>
      </c>
      <c r="B9" s="32" t="n">
        <v>1</v>
      </c>
      <c r="C9" s="32" t="n">
        <v>2</v>
      </c>
      <c r="D9" s="32" t="n">
        <v>3</v>
      </c>
      <c r="F9" s="32" t="n">
        <v>3</v>
      </c>
      <c r="G9" s="32" t="n">
        <v>1</v>
      </c>
      <c r="H9" s="32" t="n">
        <v>2</v>
      </c>
      <c r="I9" s="32" t="n">
        <v>0</v>
      </c>
    </row>
    <row r="10">
      <c r="A10" s="32" t="n">
        <v>4</v>
      </c>
      <c r="B10" s="32" t="n">
        <v>5</v>
      </c>
      <c r="C10" s="32" t="n">
        <v>6</v>
      </c>
      <c r="D10" s="32" t="n">
        <v>7</v>
      </c>
      <c r="F10" s="32" t="n">
        <v>0</v>
      </c>
      <c r="G10" s="32" t="n">
        <v>3</v>
      </c>
      <c r="H10" s="32" t="n">
        <v>1</v>
      </c>
      <c r="I10" s="32" t="n">
        <v>2</v>
      </c>
    </row>
  </sheetData>
  <mergeCells count="7">
    <mergeCell ref="A6:D6"/>
    <mergeCell ref="N6:O6"/>
    <mergeCell ref="A1:P2"/>
    <mergeCell ref="E4:N4"/>
    <mergeCell ref="K6:L6"/>
    <mergeCell ref="A4:C4"/>
    <mergeCell ref="F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showGridLines="1" workbookViewId="0">
      <selection activeCell="A1" sqref="A1"/>
    </sheetView>
  </sheetViews>
  <sheetFormatPr baseColWidth="8" defaultRowHeight="15"/>
  <cols>
    <col width="53" customWidth="1" min="1" max="1"/>
    <col width="14" customWidth="1" min="2" max="2"/>
    <col width="16" customWidth="1" min="3" max="3"/>
    <col width="22" customWidth="1" min="4" max="4"/>
    <col width="27" customWidth="1" min="5" max="5"/>
    <col width="25" customWidth="1" min="6" max="6"/>
    <col width="14" customWidth="1" min="7" max="7"/>
    <col width="14" customWidth="1" min="8" max="8"/>
    <col width="14" customWidth="1" min="9" max="9"/>
    <col width="14" customWidth="1" min="10" max="10"/>
    <col width="14" customWidth="1" min="11" max="11"/>
  </cols>
  <sheetData>
    <row r="1">
      <c r="A1" s="35" t="inlineStr">
        <is>
          <t xml:space="preserve">  ROOFLINE PERFORMANCE MODEL &amp; GPU SPEC COMPARISON</t>
        </is>
      </c>
    </row>
    <row r="2"/>
    <row r="3"/>
    <row r="4">
      <c r="A4" s="36" t="inlineStr">
        <is>
          <t>GPU Architecture</t>
        </is>
      </c>
      <c r="B4" s="36" t="inlineStr">
        <is>
          <t>FP32 TFLOPs</t>
        </is>
      </c>
      <c r="C4" s="36" t="inlineStr">
        <is>
          <t>Tensor TFLOPs</t>
        </is>
      </c>
      <c r="D4" s="36" t="inlineStr">
        <is>
          <t>Memory Bandwidth</t>
        </is>
      </c>
      <c r="E4" s="36" t="inlineStr">
        <is>
          <t>Ridge Point (FLOPs/Byte)</t>
        </is>
      </c>
      <c r="F4" s="36" t="inlineStr">
        <is>
          <t>Max GEMM Efficiency</t>
        </is>
      </c>
    </row>
    <row r="5">
      <c r="A5" s="8" t="inlineStr">
        <is>
          <t>NVIDIA H100 (Hopper)</t>
        </is>
      </c>
      <c r="B5" s="8" t="inlineStr">
        <is>
          <t>67 TFLOPs</t>
        </is>
      </c>
      <c r="C5" s="8" t="inlineStr">
        <is>
          <t>989 TFLOPs</t>
        </is>
      </c>
      <c r="D5" s="8" t="inlineStr">
        <is>
          <t>3,350 GB/s (HBM3)</t>
        </is>
      </c>
      <c r="E5" s="37">
        <f>67000/3350</f>
        <v/>
      </c>
      <c r="F5" s="8" t="inlineStr">
        <is>
          <t>95% (Tensor Cores)</t>
        </is>
      </c>
    </row>
    <row r="6">
      <c r="A6" s="10" t="inlineStr">
        <is>
          <t>NVIDIA A100 (Ampere)</t>
        </is>
      </c>
      <c r="B6" s="10" t="inlineStr">
        <is>
          <t>19.5 TFLOPs</t>
        </is>
      </c>
      <c r="C6" s="10" t="inlineStr">
        <is>
          <t>312 TFLOPs</t>
        </is>
      </c>
      <c r="D6" s="10" t="inlineStr">
        <is>
          <t>2,039 GB/s (HBM2e)</t>
        </is>
      </c>
      <c r="E6" s="38">
        <f>19500/2039</f>
        <v/>
      </c>
      <c r="F6" s="10" t="inlineStr">
        <is>
          <t>92% (Tensor Cores)</t>
        </is>
      </c>
    </row>
    <row r="7">
      <c r="A7" s="8" t="inlineStr">
        <is>
          <t>NVIDIA RTX 4090 (Ada)</t>
        </is>
      </c>
      <c r="B7" s="8" t="inlineStr">
        <is>
          <t>82.6 TFLOPs</t>
        </is>
      </c>
      <c r="C7" s="8" t="inlineStr">
        <is>
          <t>330 TFLOPs</t>
        </is>
      </c>
      <c r="D7" s="8" t="inlineStr">
        <is>
          <t>1,008 GB/s (GDDR6X)</t>
        </is>
      </c>
      <c r="E7" s="37">
        <f>82600/1008</f>
        <v/>
      </c>
      <c r="F7" s="8" t="inlineStr">
        <is>
          <t>88% (Tiled Shared Mem)</t>
        </is>
      </c>
    </row>
    <row r="8">
      <c r="A8" s="10" t="inlineStr">
        <is>
          <t>NVIDIA V100 (Volta)</t>
        </is>
      </c>
      <c r="B8" s="10" t="inlineStr">
        <is>
          <t>15.7 TFLOPs</t>
        </is>
      </c>
      <c r="C8" s="10" t="inlineStr">
        <is>
          <t>125 TFLOPs</t>
        </is>
      </c>
      <c r="D8" s="10" t="inlineStr">
        <is>
          <t>900 GB/s (HBM2)</t>
        </is>
      </c>
      <c r="E8" s="38">
        <f>15700/900</f>
        <v/>
      </c>
      <c r="F8" s="10" t="inlineStr">
        <is>
          <t>85% (Tiled Shared Mem)</t>
        </is>
      </c>
    </row>
  </sheetData>
  <mergeCells count="1">
    <mergeCell ref="A1: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2026-09-05T17:37:25Z</dcterms:created>
  <dcterms:modified xmlns:dcterms="http://purl.org/dc/terms/" xmlns:xsi="http://www.w3.org/2001/XMLSchema-instance" xsi:type="dcterms:W3CDTF">2026-09-05T17:37:25Z</dcterms:modified>
</cp:coreProperties>
</file>