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GPU_Architecture" sheetId="1" state="visible" r:id="rId1"/>
    <sheet xmlns:r="http://schemas.openxmlformats.org/officeDocument/2006/relationships" name="1_Naive_GEMM" sheetId="2" state="visible" r:id="rId2"/>
    <sheet xmlns:r="http://schemas.openxmlformats.org/officeDocument/2006/relationships" name="2_Tiled_Shared_Memory_GEMM" sheetId="3" state="visible" r:id="rId3"/>
    <sheet xmlns:r="http://schemas.openxmlformats.org/officeDocument/2006/relationships" name="3_Warp_&amp;_Thread_Mapping" sheetId="4" state="visible" r:id="rId4"/>
    <sheet xmlns:r="http://schemas.openxmlformats.org/officeDocument/2006/relationships" name="4_Memory_Coalescing" sheetId="5" state="visible" r:id="rId5"/>
    <sheet xmlns:r="http://schemas.openxmlformats.org/officeDocument/2006/relationships" name="5_Roofline_Model"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32">
    <font>
      <name val="Calibri"/>
      <family val="2"/>
      <color theme="1"/>
      <sz val="11"/>
      <scheme val="minor"/>
    </font>
    <font>
      <name val="Segoe UI"/>
      <b val="1"/>
      <color rgb="00FFFFFF"/>
      <sz val="16"/>
    </font>
    <font>
      <name val="Segoe UI"/>
      <i val="1"/>
      <color rgb="00475569"/>
      <sz val="11"/>
    </font>
    <font>
      <name val="Segoe UI"/>
      <b val="1"/>
      <color rgb="00FFFFFF"/>
      <sz val="12"/>
    </font>
    <font>
      <name val="Segoe UI"/>
      <color rgb="001E293B"/>
      <sz val="10"/>
    </font>
    <font>
      <name val="Segoe UI"/>
      <b val="1"/>
      <color rgb="00FFFFFF"/>
      <sz val="10"/>
    </font>
    <font>
      <name val="Segoe UI"/>
      <color rgb="001E293B"/>
      <sz val="9.5"/>
    </font>
    <font>
      <name val="Segoe UI"/>
      <color rgb="00FFFFFF"/>
      <sz val="9.5"/>
    </font>
    <font>
      <name val="Segoe UI"/>
      <b val="1"/>
      <color rgb="001E293B"/>
      <sz val="10.5"/>
    </font>
    <font>
      <name val="Segoe UI"/>
      <b val="1"/>
      <color rgb="00FFFFFF"/>
      <sz val="14"/>
    </font>
    <font>
      <name val="Segoe UI"/>
      <i val="1"/>
      <color rgb="00475569"/>
      <sz val="10.5"/>
    </font>
    <font>
      <name val="Segoe UI"/>
      <b val="1"/>
      <color rgb="00FFFFFF"/>
      <sz val="11"/>
    </font>
    <font>
      <name val="Segoe UI"/>
      <b val="1"/>
      <color rgb="001E293B"/>
      <sz val="11"/>
    </font>
    <font>
      <name val="Segoe UI"/>
      <b val="1"/>
      <color rgb="001E293B"/>
      <sz val="16"/>
    </font>
    <font>
      <name val="Segoe UI"/>
      <b val="1"/>
      <color rgb="00065F46"/>
      <sz val="11"/>
    </font>
    <font>
      <name val="Segoe UI"/>
      <b val="1"/>
      <color rgb="001E293B"/>
      <sz val="10"/>
    </font>
    <font>
      <name val="Segoe UI"/>
      <b val="1"/>
      <color rgb="00DC2626"/>
      <sz val="10"/>
    </font>
    <font>
      <name val="Segoe UI"/>
      <i val="1"/>
      <color rgb="00475569"/>
      <sz val="9.5"/>
    </font>
    <font>
      <name val="Consolas"/>
      <color rgb="00F8FAFC"/>
      <sz val="9.5"/>
    </font>
    <font>
      <name val="Segoe UI"/>
      <b val="1"/>
      <color rgb="006D28D9"/>
      <sz val="10.5"/>
    </font>
    <font>
      <name val="Segoe UI"/>
      <b val="1"/>
      <color rgb="00FFFFFF"/>
      <sz val="10.5"/>
    </font>
    <font>
      <name val="Segoe UI"/>
      <b val="1"/>
      <color rgb="000369A1"/>
      <sz val="11"/>
    </font>
    <font>
      <name val="Segoe UI"/>
      <b val="1"/>
      <color rgb="006D28D9"/>
      <sz val="11"/>
    </font>
    <font>
      <name val="Segoe UI"/>
      <b val="1"/>
      <color rgb="00065F46"/>
      <sz val="10.5"/>
    </font>
    <font>
      <name val="Segoe UI"/>
      <b val="1"/>
      <color rgb="001E293B"/>
      <sz val="9.5"/>
    </font>
    <font>
      <name val="Segoe UI"/>
      <color rgb="00334155"/>
      <sz val="9"/>
    </font>
    <font>
      <name val="Consolas"/>
      <color rgb="00F8FAFC"/>
      <sz val="9"/>
    </font>
    <font>
      <name val="Segoe UI"/>
      <b val="1"/>
      <color rgb="00059669"/>
      <sz val="9.5"/>
    </font>
    <font>
      <name val="Segoe UI"/>
      <color rgb="00065F46"/>
      <sz val="9.5"/>
    </font>
    <font>
      <name val="Segoe UI"/>
      <color rgb="00991B1B"/>
      <sz val="9.5"/>
    </font>
    <font>
      <name val="Segoe UI"/>
      <b val="1"/>
      <color rgb="001E293B"/>
      <sz val="9"/>
    </font>
    <font>
      <name val="Segoe UI"/>
      <b val="1"/>
      <color rgb="000369A1"/>
      <sz val="10"/>
    </font>
  </fonts>
  <fills count="24">
    <fill>
      <patternFill/>
    </fill>
    <fill>
      <patternFill patternType="gray125"/>
    </fill>
    <fill>
      <patternFill patternType="solid">
        <fgColor rgb="001E293B"/>
        <bgColor rgb="001E293B"/>
      </patternFill>
    </fill>
    <fill>
      <patternFill patternType="solid">
        <fgColor rgb="000EA5E9"/>
        <bgColor rgb="000EA5E9"/>
      </patternFill>
    </fill>
    <fill>
      <patternFill patternType="solid">
        <fgColor rgb="00F1F5F9"/>
        <bgColor rgb="00F1F5F9"/>
      </patternFill>
    </fill>
    <fill>
      <patternFill patternType="solid">
        <fgColor rgb="008B5CF6"/>
        <bgColor rgb="008B5CF6"/>
      </patternFill>
    </fill>
    <fill>
      <patternFill patternType="solid">
        <fgColor rgb="00334155"/>
        <bgColor rgb="00334155"/>
      </patternFill>
    </fill>
    <fill>
      <patternFill patternType="solid">
        <fgColor rgb="00F8FAFC"/>
        <bgColor rgb="00F8FAFC"/>
      </patternFill>
    </fill>
    <fill>
      <patternFill patternType="solid">
        <fgColor rgb="0010B981"/>
        <bgColor rgb="0010B981"/>
      </patternFill>
    </fill>
    <fill>
      <patternFill patternType="solid">
        <fgColor rgb="000284C7"/>
        <bgColor rgb="000284C7"/>
      </patternFill>
    </fill>
    <fill>
      <patternFill patternType="solid">
        <fgColor rgb="002563EB"/>
        <bgColor rgb="002563EB"/>
      </patternFill>
    </fill>
    <fill>
      <patternFill patternType="solid">
        <fgColor rgb="007C3AED"/>
        <bgColor rgb="007C3AED"/>
      </patternFill>
    </fill>
    <fill>
      <patternFill patternType="solid">
        <fgColor rgb="00059669"/>
        <bgColor rgb="00059669"/>
      </patternFill>
    </fill>
    <fill>
      <patternFill patternType="solid">
        <fgColor rgb="00FEF3C7"/>
        <bgColor rgb="00FEF3C7"/>
      </patternFill>
    </fill>
    <fill>
      <patternFill patternType="solid">
        <fgColor rgb="00DC2626"/>
        <bgColor rgb="00DC2626"/>
      </patternFill>
    </fill>
    <fill>
      <patternFill patternType="solid">
        <fgColor rgb="00E0F2FE"/>
        <bgColor rgb="00E0F2FE"/>
      </patternFill>
    </fill>
    <fill>
      <patternFill patternType="solid">
        <fgColor rgb="00F3E8FF"/>
        <bgColor rgb="00F3E8FF"/>
      </patternFill>
    </fill>
    <fill>
      <patternFill patternType="solid">
        <fgColor rgb="00D1FAE5"/>
        <bgColor rgb="00D1FAE5"/>
      </patternFill>
    </fill>
    <fill>
      <patternFill patternType="solid">
        <fgColor rgb="00475569"/>
        <bgColor rgb="00475569"/>
      </patternFill>
    </fill>
    <fill>
      <patternFill patternType="solid">
        <fgColor rgb="000F172A"/>
        <bgColor rgb="000F172A"/>
      </patternFill>
    </fill>
    <fill>
      <patternFill patternType="solid">
        <fgColor rgb="00ECFDF5"/>
        <bgColor rgb="00ECFDF5"/>
      </patternFill>
    </fill>
    <fill>
      <patternFill patternType="solid">
        <fgColor rgb="00DCFCE7"/>
        <bgColor rgb="00DCFCE7"/>
      </patternFill>
    </fill>
    <fill>
      <patternFill patternType="solid">
        <fgColor rgb="00FEF2F2"/>
        <bgColor rgb="00FEF2F2"/>
      </patternFill>
    </fill>
    <fill>
      <patternFill patternType="solid">
        <fgColor rgb="00F59E0B"/>
        <bgColor rgb="00F59E0B"/>
      </patternFill>
    </fill>
  </fills>
  <borders count="7">
    <border>
      <left/>
      <right/>
      <top/>
      <bottom/>
      <diagonal/>
    </border>
    <border>
      <left style="thin">
        <color rgb="00CBD5E1"/>
      </left>
      <right style="thin">
        <color rgb="00CBD5E1"/>
      </right>
      <top style="thin">
        <color rgb="00CBD5E1"/>
      </top>
      <bottom style="thin">
        <color rgb="00CBD5E1"/>
      </bottom>
    </border>
    <border>
      <left style="medium">
        <color rgb="0064748B"/>
      </left>
      <right style="medium">
        <color rgb="0064748B"/>
      </right>
      <top style="medium">
        <color rgb="0064748B"/>
      </top>
      <bottom style="medium">
        <color rgb="0064748B"/>
      </bottom>
    </border>
    <border>
      <left style="medium">
        <color rgb="00F59E0B"/>
      </left>
      <right style="medium">
        <color rgb="00F59E0B"/>
      </right>
      <top style="medium">
        <color rgb="00F59E0B"/>
      </top>
      <bottom style="medium">
        <color rgb="00F59E0B"/>
      </bottom>
    </border>
    <border>
      <left style="medium">
        <color rgb="004C1D95"/>
      </left>
      <right style="medium">
        <color rgb="004C1D95"/>
      </right>
      <top style="medium">
        <color rgb="004C1D95"/>
      </top>
      <bottom style="medium">
        <color rgb="004C1D95"/>
      </bottom>
    </border>
    <border>
      <left style="medium">
        <color rgb="000EA5E9"/>
      </left>
      <right style="medium">
        <color rgb="000EA5E9"/>
      </right>
      <top style="medium">
        <color rgb="000EA5E9"/>
      </top>
      <bottom style="medium">
        <color rgb="000EA5E9"/>
      </bottom>
    </border>
    <border>
      <left style="medium">
        <color rgb="008B5CF6"/>
      </left>
      <right style="medium">
        <color rgb="008B5CF6"/>
      </right>
      <top style="medium">
        <color rgb="008B5CF6"/>
      </top>
      <bottom style="medium">
        <color rgb="008B5CF6"/>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center"/>
    </xf>
    <xf numFmtId="0" fontId="3" fillId="3" borderId="0" pivotButton="0" quotePrefix="0" xfId="0"/>
    <xf numFmtId="0" fontId="3" fillId="5" borderId="0" pivotButton="0" quotePrefix="0" xfId="0"/>
    <xf numFmtId="0" fontId="4" fillId="4" borderId="1" applyAlignment="1" pivotButton="0" quotePrefix="0" xfId="0">
      <alignment horizontal="left" vertical="center" wrapText="1"/>
    </xf>
    <xf numFmtId="0" fontId="5" fillId="6" borderId="1" applyAlignment="1" pivotButton="0" quotePrefix="0" xfId="0">
      <alignment horizontal="center"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3" fillId="8" borderId="0" pivotButton="0" quotePrefix="0" xfId="0"/>
    <xf numFmtId="0" fontId="7" fillId="9" borderId="2" applyAlignment="1" pivotButton="0" quotePrefix="0" xfId="0">
      <alignment horizontal="left" vertical="center" wrapText="1"/>
    </xf>
    <xf numFmtId="0" fontId="7" fillId="10" borderId="2" applyAlignment="1" pivotButton="0" quotePrefix="0" xfId="0">
      <alignment horizontal="left" vertical="center" wrapText="1"/>
    </xf>
    <xf numFmtId="0" fontId="7" fillId="11" borderId="2" applyAlignment="1" pivotButton="0" quotePrefix="0" xfId="0">
      <alignment horizontal="left" vertical="center" wrapText="1"/>
    </xf>
    <xf numFmtId="0" fontId="7" fillId="12" borderId="2" applyAlignment="1" pivotButton="0" quotePrefix="0" xfId="0">
      <alignment horizontal="left" vertical="center" wrapText="1"/>
    </xf>
    <xf numFmtId="0" fontId="8" fillId="13" borderId="3" applyAlignment="1" pivotButton="0" quotePrefix="0" xfId="0">
      <alignment horizontal="left" vertical="center" wrapText="1"/>
    </xf>
    <xf numFmtId="0" fontId="9" fillId="14" borderId="0" applyAlignment="1" pivotButton="0" quotePrefix="0" xfId="0">
      <alignment horizontal="left" vertical="center"/>
    </xf>
    <xf numFmtId="0" fontId="10" fillId="0" borderId="0" pivotButton="0" quotePrefix="0" xfId="0"/>
    <xf numFmtId="0" fontId="11" fillId="3" borderId="0" applyAlignment="1" pivotButton="0" quotePrefix="0" xfId="0">
      <alignment horizontal="center" vertical="center"/>
    </xf>
    <xf numFmtId="0" fontId="11" fillId="5" borderId="0" applyAlignment="1" pivotButton="0" quotePrefix="0" xfId="0">
      <alignment horizontal="center" vertical="center"/>
    </xf>
    <xf numFmtId="0" fontId="11" fillId="8" borderId="0" applyAlignment="1" pivotButton="0" quotePrefix="0" xfId="0">
      <alignment horizontal="center" vertical="center"/>
    </xf>
    <xf numFmtId="0" fontId="12" fillId="15" borderId="1" applyAlignment="1" pivotButton="0" quotePrefix="0" xfId="0">
      <alignment horizontal="center" vertical="center"/>
    </xf>
    <xf numFmtId="0" fontId="12" fillId="16" borderId="1" applyAlignment="1" pivotButton="0" quotePrefix="0" xfId="0">
      <alignment horizontal="center" vertical="center"/>
    </xf>
    <xf numFmtId="0" fontId="14" fillId="17" borderId="1" applyAlignment="1" pivotButton="0" quotePrefix="0" xfId="0">
      <alignment horizontal="center" vertical="center"/>
    </xf>
    <xf numFmtId="0" fontId="13" fillId="0" borderId="0" applyAlignment="1" pivotButton="0" quotePrefix="0" xfId="0">
      <alignment horizontal="center" vertical="center"/>
    </xf>
    <xf numFmtId="0" fontId="11" fillId="18" borderId="0" pivotButton="0" quotePrefix="0" xfId="0"/>
    <xf numFmtId="0" fontId="15" fillId="7" borderId="1" pivotButton="0" quotePrefix="0" xfId="0"/>
    <xf numFmtId="0" fontId="16" fillId="0" borderId="1" applyAlignment="1" pivotButton="0" quotePrefix="0" xfId="0">
      <alignment horizontal="center" vertical="center"/>
    </xf>
    <xf numFmtId="0" fontId="17" fillId="0" borderId="1" pivotButton="0" quotePrefix="0" xfId="0"/>
    <xf numFmtId="0" fontId="18" fillId="19" borderId="0" applyAlignment="1" pivotButton="0" quotePrefix="0" xfId="0">
      <alignment horizontal="left" vertical="center" wrapText="1"/>
    </xf>
    <xf numFmtId="0" fontId="9" fillId="3" borderId="0" applyAlignment="1" pivotButton="0" quotePrefix="0" xfId="0">
      <alignment horizontal="left" vertical="center"/>
    </xf>
    <xf numFmtId="0" fontId="9" fillId="11" borderId="4" applyAlignment="1" pivotButton="0" quotePrefix="0" xfId="0">
      <alignment horizontal="center" vertical="center"/>
    </xf>
    <xf numFmtId="0" fontId="19" fillId="0" borderId="0" applyAlignment="1" pivotButton="0" quotePrefix="0" xfId="0">
      <alignment horizontal="left" vertical="center"/>
    </xf>
    <xf numFmtId="0" fontId="20" fillId="6" borderId="0" applyAlignment="1" pivotButton="0" quotePrefix="0" xfId="0">
      <alignment horizontal="center" vertical="center"/>
    </xf>
    <xf numFmtId="0" fontId="20" fillId="3" borderId="0" applyAlignment="1" pivotButton="0" quotePrefix="0" xfId="0">
      <alignment horizontal="center" vertical="center"/>
    </xf>
    <xf numFmtId="0" fontId="20" fillId="5" borderId="0" applyAlignment="1" pivotButton="0" quotePrefix="0" xfId="0">
      <alignment horizontal="center" vertical="center"/>
    </xf>
    <xf numFmtId="0" fontId="8" fillId="4" borderId="1" applyAlignment="1" pivotButton="0" quotePrefix="0" xfId="0">
      <alignment horizontal="center" vertical="center"/>
    </xf>
    <xf numFmtId="0" fontId="21" fillId="15" borderId="5" applyAlignment="1" pivotButton="0" quotePrefix="0" xfId="0">
      <alignment horizontal="center" vertical="center"/>
    </xf>
    <xf numFmtId="0" fontId="22" fillId="16" borderId="6" applyAlignment="1" pivotButton="0" quotePrefix="0" xfId="0">
      <alignment horizontal="center" vertical="center"/>
    </xf>
    <xf numFmtId="0" fontId="20" fillId="8" borderId="0" applyAlignment="1" pivotButton="0" quotePrefix="0" xfId="0">
      <alignment horizontal="center" vertical="center"/>
    </xf>
    <xf numFmtId="0" fontId="20" fillId="6" borderId="0" pivotButton="0" quotePrefix="0" xfId="0"/>
    <xf numFmtId="0" fontId="23" fillId="20" borderId="1" applyAlignment="1" pivotButton="0" quotePrefix="0" xfId="0">
      <alignment horizontal="center" vertical="center"/>
    </xf>
    <xf numFmtId="0" fontId="24" fillId="4" borderId="1" applyAlignment="1" pivotButton="0" quotePrefix="0" xfId="0">
      <alignment horizontal="center" vertical="center"/>
    </xf>
    <xf numFmtId="0" fontId="25" fillId="0" borderId="1" applyAlignment="1" pivotButton="0" quotePrefix="0" xfId="0">
      <alignment horizontal="left" vertical="center" wrapText="1"/>
    </xf>
    <xf numFmtId="0" fontId="26" fillId="19" borderId="0" applyAlignment="1" pivotButton="0" quotePrefix="0" xfId="0">
      <alignment horizontal="left" vertical="center" wrapText="1"/>
    </xf>
    <xf numFmtId="0" fontId="9" fillId="8" borderId="0" applyAlignment="1" pivotButton="0" quotePrefix="0" xfId="0">
      <alignment horizontal="left" vertical="center"/>
    </xf>
    <xf numFmtId="0" fontId="5" fillId="2" borderId="1" applyAlignment="1" pivotButton="0" quotePrefix="0" xfId="0">
      <alignment horizontal="center" vertical="center"/>
    </xf>
    <xf numFmtId="0" fontId="27" fillId="21" borderId="1" applyAlignment="1" pivotButton="0" quotePrefix="0" xfId="0">
      <alignment horizontal="center" vertical="center"/>
    </xf>
    <xf numFmtId="0" fontId="15" fillId="13" borderId="3" applyAlignment="1" pivotButton="0" quotePrefix="0" xfId="0">
      <alignment horizontal="left" vertical="center" wrapText="1"/>
    </xf>
    <xf numFmtId="0" fontId="9" fillId="5" borderId="0" applyAlignment="1" pivotButton="0" quotePrefix="0" xfId="0">
      <alignment horizontal="left" vertical="center"/>
    </xf>
    <xf numFmtId="0" fontId="11" fillId="12" borderId="0" applyAlignment="1" pivotButton="0" quotePrefix="0" xfId="0">
      <alignment horizontal="center" vertical="center"/>
    </xf>
    <xf numFmtId="0" fontId="11" fillId="14" borderId="0" applyAlignment="1" pivotButton="0" quotePrefix="0" xfId="0">
      <alignment horizontal="center" vertical="center"/>
    </xf>
    <xf numFmtId="0" fontId="28" fillId="20" borderId="1" applyAlignment="1" pivotButton="0" quotePrefix="0" xfId="0">
      <alignment horizontal="left" vertical="center" wrapText="1"/>
    </xf>
    <xf numFmtId="0" fontId="29" fillId="22" borderId="1" applyAlignment="1" pivotButton="0" quotePrefix="0" xfId="0">
      <alignment horizontal="left" vertical="center" wrapText="1"/>
    </xf>
    <xf numFmtId="0" fontId="30" fillId="15" borderId="1" applyAlignment="1" pivotButton="0" quotePrefix="0" xfId="0">
      <alignment horizontal="center" vertical="center"/>
    </xf>
    <xf numFmtId="0" fontId="9" fillId="23" borderId="0" applyAlignment="1" pivotButton="0" quotePrefix="0" xfId="0">
      <alignment horizontal="left" vertical="center"/>
    </xf>
    <xf numFmtId="164" fontId="31" fillId="7" borderId="1" applyAlignment="1" pivotButton="0" quotePrefix="0" xfId="0">
      <alignment horizontal="center" vertical="center"/>
    </xf>
    <xf numFmtId="164" fontId="31"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9"/>
  <sheetViews>
    <sheetView showGridLines="1" workbookViewId="0">
      <selection activeCell="A1" sqref="A1"/>
    </sheetView>
  </sheetViews>
  <sheetFormatPr baseColWidth="8" defaultRowHeight="15"/>
  <cols>
    <col width="165" customWidth="1" min="1" max="1"/>
    <col width="14" customWidth="1" min="2" max="2"/>
    <col width="14" customWidth="1" min="3" max="3"/>
    <col width="34" customWidth="1" min="4" max="4"/>
    <col width="14" customWidth="1" min="5" max="5"/>
    <col width="14" customWidth="1" min="6" max="6"/>
    <col width="77" customWidth="1" min="7" max="7"/>
    <col width="56" customWidth="1" min="8" max="8"/>
    <col width="25" customWidth="1" min="9" max="9"/>
    <col width="21" customWidth="1" min="10" max="10"/>
    <col width="42" customWidth="1" min="11" max="11"/>
    <col width="19" customWidth="1" min="12" max="12"/>
    <col width="23" customWidth="1" min="13" max="13"/>
    <col width="14" customWidth="1" min="14" max="14"/>
  </cols>
  <sheetData>
    <row r="1">
      <c r="A1" s="1" t="inlineStr">
        <is>
          <t xml:space="preserve">  GPU ARCHITECTURE &amp; HARDWARE HIERARCHY SIMULATOR</t>
        </is>
      </c>
    </row>
    <row r="2"/>
    <row r="3">
      <c r="A3" s="2" t="inlineStr">
        <is>
          <t>Why GPUs excel at Matrix Multiplication: Massive Parallelism + Hierarchical Memory Model</t>
        </is>
      </c>
    </row>
    <row r="4"/>
    <row r="5">
      <c r="A5" s="3" t="inlineStr">
        <is>
          <t xml:space="preserve">  1. CPU vs GPU: The Excel Mental Model</t>
        </is>
      </c>
      <c r="H5" s="4" t="inlineStr">
        <is>
          <t xml:space="preserve">  2. GPU Memory Hierarchy &amp; Latency (The Memory Wall)</t>
        </is>
      </c>
    </row>
    <row r="6">
      <c r="A6" s="5" t="inlineStr">
        <is>
          <t>• CPU Mental Model (Sequential Worker)
Imagine 1 person sitting at Excel filling 1 cell at a time with a formula:
for i in 1..M: for j in 1..N: cell[i,j] = sumproduct(row_i, col_j).
High clock speed (5 GHz), huge L3 cache, but only 8-16 workers.</t>
        </is>
      </c>
      <c r="H6" s="6" t="inlineStr">
        <is>
          <t>Memory Tier</t>
        </is>
      </c>
      <c r="I6" s="6" t="inlineStr">
        <is>
          <t>Location</t>
        </is>
      </c>
      <c r="J6" s="6" t="inlineStr">
        <is>
          <t>Capacity</t>
        </is>
      </c>
      <c r="K6" s="6" t="inlineStr">
        <is>
          <t>Latency (Cycles)</t>
        </is>
      </c>
      <c r="L6" s="6" t="inlineStr">
        <is>
          <t>Bandwidth</t>
        </is>
      </c>
      <c r="M6" s="6" t="inlineStr">
        <is>
          <t>Scope</t>
        </is>
      </c>
    </row>
    <row r="7">
      <c r="H7" s="7" t="inlineStr">
        <is>
          <t>Registers</t>
        </is>
      </c>
      <c r="I7" s="7" t="inlineStr">
        <is>
          <t>On-Chip (Thread)</t>
        </is>
      </c>
      <c r="J7" s="8" t="inlineStr">
        <is>
          <t>~64 KB / SM</t>
        </is>
      </c>
      <c r="K7" s="8" t="inlineStr">
        <is>
          <t>0-1 cycles</t>
        </is>
      </c>
      <c r="L7" s="8" t="inlineStr">
        <is>
          <t>Ultra (&gt;30 TB/s)</t>
        </is>
      </c>
      <c r="M7" s="7" t="inlineStr">
        <is>
          <t>Private per Thread</t>
        </is>
      </c>
    </row>
    <row r="8">
      <c r="H8" s="9" t="inlineStr">
        <is>
          <t>Shared Memory (SRAM)</t>
        </is>
      </c>
      <c r="I8" s="9" t="inlineStr">
        <is>
          <t>On-Chip (SM)</t>
        </is>
      </c>
      <c r="J8" s="10" t="inlineStr">
        <is>
          <t>64-228 KB / SM</t>
        </is>
      </c>
      <c r="K8" s="10" t="inlineStr">
        <is>
          <t>20-30 cycles</t>
        </is>
      </c>
      <c r="L8" s="10" t="inlineStr">
        <is>
          <t>~12-19 TB/s</t>
        </is>
      </c>
      <c r="M8" s="9" t="inlineStr">
        <is>
          <t>Shared in Block</t>
        </is>
      </c>
    </row>
    <row r="9">
      <c r="A9" s="5" t="inlineStr">
        <is>
          <t>• GPU Mental Model (Massive Parallel Army)
Imagine 10,000 workers where EACH WORKER is assigned to EXACTLY ONE CELL!
All workers calculate their cell's formula at the EXACT same instant in lockstep.
Moderate clock speed (1.8-2.5 GHz), but massive throughput (thousands of ALUs).</t>
        </is>
      </c>
      <c r="H9" s="7" t="inlineStr">
        <is>
          <t>L1 Cache</t>
        </is>
      </c>
      <c r="I9" s="7" t="inlineStr">
        <is>
          <t>On-Chip (SM)</t>
        </is>
      </c>
      <c r="J9" s="8" t="inlineStr">
        <is>
          <t>Integrated w/ SMEM</t>
        </is>
      </c>
      <c r="K9" s="8" t="inlineStr">
        <is>
          <t>20-30 cycles</t>
        </is>
      </c>
      <c r="L9" s="8" t="inlineStr">
        <is>
          <t>~12-19 TB/s</t>
        </is>
      </c>
      <c r="M9" s="7" t="inlineStr">
        <is>
          <t>SM / Streaming</t>
        </is>
      </c>
    </row>
    <row r="10">
      <c r="H10" s="9" t="inlineStr">
        <is>
          <t>L2 Cache</t>
        </is>
      </c>
      <c r="I10" s="9" t="inlineStr">
        <is>
          <t>On-Chip (Cross-SM)</t>
        </is>
      </c>
      <c r="J10" s="10" t="inlineStr">
        <is>
          <t>32-96 MB (Chip)</t>
        </is>
      </c>
      <c r="K10" s="10" t="inlineStr">
        <is>
          <t>150-200 cycles</t>
        </is>
      </c>
      <c r="L10" s="10" t="inlineStr">
        <is>
          <t>~3-5 TB/s</t>
        </is>
      </c>
      <c r="M10" s="9" t="inlineStr">
        <is>
          <t>All SMs on GPU</t>
        </is>
      </c>
    </row>
    <row r="11">
      <c r="H11" s="7" t="inlineStr">
        <is>
          <t>Global Memory (VRAM)</t>
        </is>
      </c>
      <c r="I11" s="7" t="inlineStr">
        <is>
          <t>Off-Chip (HBM3/GDDR6X)</t>
        </is>
      </c>
      <c r="J11" s="8" t="inlineStr">
        <is>
          <t>24-80 GB</t>
        </is>
      </c>
      <c r="K11" s="8" t="inlineStr">
        <is>
          <t>400-800 cycles</t>
        </is>
      </c>
      <c r="L11" s="8" t="inlineStr">
        <is>
          <t>1.0 - 3.3 TB/s</t>
        </is>
      </c>
      <c r="M11" s="7" t="inlineStr">
        <is>
          <t>Global (All Threads)</t>
        </is>
      </c>
    </row>
    <row r="12">
      <c r="A12" s="11" t="inlineStr">
        <is>
          <t xml:space="preserve">  3. Execution Hierarchy: Grid -&gt; Thread Blocks -&gt; Warps -&gt; Threads</t>
        </is>
      </c>
    </row>
    <row r="13">
      <c r="A13" s="12" t="inlineStr">
        <is>
          <t>【 GRID (Kernel Launch) 】
The entire problem space.
e.g. Matrix C (1024x1024).
Divided into a 2D grid of Blocks:
(gridDim.x, gridDim.y)</t>
        </is>
      </c>
      <c r="D13" s="13" t="inlineStr">
        <is>
          <t>【 THREAD BLOCK (CTA) 】
A group of up to 1024 threads.
Assigned to 1 SM.
Share fast SRAM (Shared Memory)
Synchronize via __syncthreads()</t>
        </is>
      </c>
      <c r="G13" s="14" t="inlineStr">
        <is>
          <t>【 WARP (Hardware Unit) 】
32 Threads executed in LOCKSTEP (SIMT).
Warp Scheduler dispatches 1 instruction for all 32 threads simultaneously.
Branches (if/else) cause Warp Divergence.</t>
        </is>
      </c>
      <c r="K13" s="15" t="inlineStr">
        <is>
          <t>【 THREAD (Worker) 】
Single execution stream.
Has private Registers (float acc=0).
Computes 1 element of Matrix C
Coordinates: (threadIdx.x, threadIdx.y)</t>
        </is>
      </c>
    </row>
    <row r="14"/>
    <row r="15"/>
    <row r="16"/>
    <row r="17">
      <c r="A17" s="16" t="inlineStr">
        <is>
          <t>💡 THE CORE PROBLEM OF MATRIX MULTIPLICATION (GEMM) ON GPU:
To calculate C = A x B for size N x N:
• Total Math Operations: 2 * N^3 FLOPs (Multiply-Adds).
• If every thread reads directly from Global Memory (DRAM): 2 * N^3 reads from slow 400-cycle memory!
• Solution -&gt; TILING IN SHARED MEMORY: Load a tile into on-chip SRAM once, reuse it TILE_SIZE times, cutting memory traffic by TILE_SIZE (e.g. 16x - 32x speedup)!</t>
        </is>
      </c>
    </row>
    <row r="18"/>
    <row r="19"/>
  </sheetData>
  <mergeCells count="12">
    <mergeCell ref="A1:N2"/>
    <mergeCell ref="H5:N5"/>
    <mergeCell ref="A3:N3"/>
    <mergeCell ref="A17:N19"/>
    <mergeCell ref="A6:F7"/>
    <mergeCell ref="A12:N12"/>
    <mergeCell ref="A13:C15"/>
    <mergeCell ref="A5:F5"/>
    <mergeCell ref="A9:F10"/>
    <mergeCell ref="K13:N15"/>
    <mergeCell ref="G13:J15"/>
    <mergeCell ref="D13: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8"/>
  <sheetViews>
    <sheetView showGridLines="1" workbookViewId="0">
      <selection activeCell="A1" sqref="A1"/>
    </sheetView>
  </sheetViews>
  <sheetFormatPr baseColWidth="8" defaultRowHeight="15"/>
  <cols>
    <col width="123" customWidth="1" min="1" max="1"/>
    <col width="27" customWidth="1" min="2" max="2"/>
    <col width="14" customWidth="1" min="3" max="3"/>
    <col width="32" customWidth="1" min="4" max="4"/>
    <col width="14" customWidth="1" min="5" max="5"/>
    <col width="66" customWidth="1" min="6" max="6"/>
    <col width="27" customWidth="1" min="7" max="7"/>
    <col width="14" customWidth="1" min="8" max="8"/>
    <col width="14" customWidth="1" min="9" max="9"/>
    <col width="14" customWidth="1" min="10" max="10"/>
    <col width="14" customWidth="1" min="11" max="11"/>
    <col width="33" customWidth="1" min="12" max="12"/>
    <col width="30" customWidth="1" min="13" max="13"/>
    <col width="30" customWidth="1" min="14" max="14"/>
    <col width="30" customWidth="1" min="15" max="15"/>
  </cols>
  <sheetData>
    <row r="1">
      <c r="A1" s="17" t="inlineStr">
        <is>
          <t xml:space="preserve">  NAIVE GPU MATRIX MULTIPLICATION (1 Thread = 1 Output Element)</t>
        </is>
      </c>
    </row>
    <row r="2"/>
    <row r="3">
      <c r="A3" s="18" t="inlineStr">
        <is>
          <t>In Naive GEMM, each thread (tx, ty) loads its ENTIRE ROW from Matrix A and ENTIRE COLUMN from Matrix B from Global VRAM.</t>
        </is>
      </c>
    </row>
    <row r="4"/>
    <row r="5">
      <c r="B5" s="19" t="inlineStr">
        <is>
          <t>Matrix A (Global Memory)</t>
        </is>
      </c>
      <c r="G5" s="20" t="inlineStr">
        <is>
          <t>Matrix B (Global Memory)</t>
        </is>
      </c>
      <c r="L5" s="21" t="inlineStr">
        <is>
          <t>Matrix C = A x B (Thread Grid)</t>
        </is>
      </c>
    </row>
    <row r="6">
      <c r="B6" s="22" t="n">
        <v>1</v>
      </c>
      <c r="C6" s="22" t="n">
        <v>2</v>
      </c>
      <c r="D6" s="22" t="n">
        <v>3</v>
      </c>
      <c r="E6" s="22" t="n">
        <v>4</v>
      </c>
      <c r="G6" s="23" t="n">
        <v>2</v>
      </c>
      <c r="H6" s="23" t="n">
        <v>0</v>
      </c>
      <c r="I6" s="23" t="n">
        <v>1</v>
      </c>
      <c r="J6" s="23" t="n">
        <v>3</v>
      </c>
      <c r="L6" s="24">
        <f>SUMPRODUCT(B6:E6, G$6:G$9)</f>
        <v/>
      </c>
      <c r="M6" s="24">
        <f>SUMPRODUCT(B6:E6, H$6:H$9)</f>
        <v/>
      </c>
      <c r="N6" s="24">
        <f>SUMPRODUCT(B6:E6, I$6:I$9)</f>
        <v/>
      </c>
      <c r="O6" s="24">
        <f>SUMPRODUCT(B6:E6, J$6:J$9)</f>
        <v/>
      </c>
    </row>
    <row r="7">
      <c r="B7" s="22" t="n">
        <v>5</v>
      </c>
      <c r="C7" s="22" t="n">
        <v>6</v>
      </c>
      <c r="D7" s="22" t="n">
        <v>7</v>
      </c>
      <c r="E7" s="22" t="n">
        <v>8</v>
      </c>
      <c r="F7" s="25" t="inlineStr">
        <is>
          <t>✖</t>
        </is>
      </c>
      <c r="G7" s="23" t="n">
        <v>1</v>
      </c>
      <c r="H7" s="23" t="n">
        <v>2</v>
      </c>
      <c r="I7" s="23" t="n">
        <v>0</v>
      </c>
      <c r="J7" s="23" t="n">
        <v>1</v>
      </c>
      <c r="K7" s="25" t="inlineStr">
        <is>
          <t>➡</t>
        </is>
      </c>
      <c r="L7" s="24">
        <f>SUMPRODUCT(B7:E7, G$6:G$9)</f>
        <v/>
      </c>
      <c r="M7" s="24">
        <f>SUMPRODUCT(B7:E7, H$6:H$9)</f>
        <v/>
      </c>
      <c r="N7" s="24">
        <f>SUMPRODUCT(B7:E7, I$6:I$9)</f>
        <v/>
      </c>
      <c r="O7" s="24">
        <f>SUMPRODUCT(B7:E7, J$6:J$9)</f>
        <v/>
      </c>
    </row>
    <row r="8">
      <c r="B8" s="22" t="n">
        <v>9</v>
      </c>
      <c r="C8" s="22" t="n">
        <v>1</v>
      </c>
      <c r="D8" s="22" t="n">
        <v>2</v>
      </c>
      <c r="E8" s="22" t="n">
        <v>3</v>
      </c>
      <c r="G8" s="23" t="n">
        <v>3</v>
      </c>
      <c r="H8" s="23" t="n">
        <v>1</v>
      </c>
      <c r="I8" s="23" t="n">
        <v>2</v>
      </c>
      <c r="J8" s="23" t="n">
        <v>0</v>
      </c>
      <c r="L8" s="24">
        <f>SUMPRODUCT(B8:E8, G$6:G$9)</f>
        <v/>
      </c>
      <c r="M8" s="24">
        <f>SUMPRODUCT(B8:E8, H$6:H$9)</f>
        <v/>
      </c>
      <c r="N8" s="24">
        <f>SUMPRODUCT(B8:E8, I$6:I$9)</f>
        <v/>
      </c>
      <c r="O8" s="24">
        <f>SUMPRODUCT(B8:E8, J$6:J$9)</f>
        <v/>
      </c>
    </row>
    <row r="9">
      <c r="B9" s="22" t="n">
        <v>4</v>
      </c>
      <c r="C9" s="22" t="n">
        <v>5</v>
      </c>
      <c r="D9" s="22" t="n">
        <v>6</v>
      </c>
      <c r="E9" s="22" t="n">
        <v>7</v>
      </c>
      <c r="G9" s="23" t="n">
        <v>0</v>
      </c>
      <c r="H9" s="23" t="n">
        <v>3</v>
      </c>
      <c r="I9" s="23" t="n">
        <v>1</v>
      </c>
      <c r="J9" s="23" t="n">
        <v>2</v>
      </c>
      <c r="L9" s="24">
        <f>SUMPRODUCT(B9:E9, G$6:G$9)</f>
        <v/>
      </c>
      <c r="M9" s="24">
        <f>SUMPRODUCT(B9:E9, H$6:H$9)</f>
        <v/>
      </c>
      <c r="N9" s="24">
        <f>SUMPRODUCT(B9:E9, I$6:I$9)</f>
        <v/>
      </c>
      <c r="O9" s="24">
        <f>SUMPRODUCT(B9:E9, J$6:J$9)</f>
        <v/>
      </c>
    </row>
    <row r="10"/>
    <row r="11"/>
    <row r="12">
      <c r="A12" s="26" t="inlineStr">
        <is>
          <t xml:space="preserve">  Naive Memory Bandwidth Breakdown (N = 4)</t>
        </is>
      </c>
    </row>
    <row r="13">
      <c r="A13" s="27" t="inlineStr">
        <is>
          <t>Number of Output Elements (Threads)</t>
        </is>
      </c>
      <c r="D13" s="28" t="inlineStr">
        <is>
          <t>16 threads</t>
        </is>
      </c>
      <c r="F13" s="29" t="inlineStr">
        <is>
          <t>4 x 4 elements</t>
        </is>
      </c>
    </row>
    <row r="14">
      <c r="A14" s="27" t="inlineStr">
        <is>
          <t>Reads from Global Memory per Thread</t>
        </is>
      </c>
      <c r="D14" s="28" t="inlineStr">
        <is>
          <t>8 reads (4 from A + 4 from B)</t>
        </is>
      </c>
      <c r="F14" s="29" t="inlineStr">
        <is>
          <t>2 * N reads per thread</t>
        </is>
      </c>
    </row>
    <row r="15">
      <c r="A15" s="27" t="inlineStr">
        <is>
          <t>Total Global Memory Reads (All Threads)</t>
        </is>
      </c>
      <c r="D15" s="28">
        <f>16*8</f>
        <v/>
      </c>
      <c r="F15" s="29" t="inlineStr">
        <is>
          <t>128 DRAM reads for just 4x4 matrix!</t>
        </is>
      </c>
    </row>
    <row r="16">
      <c r="A16" s="27" t="inlineStr">
        <is>
          <t>Arithmetic Floating Point Ops (FLOPs)</t>
        </is>
      </c>
      <c r="D16" s="28">
        <f>2*4*4*4</f>
        <v/>
      </c>
      <c r="F16" s="29" t="inlineStr">
        <is>
          <t>2 * N^3 = 128 FLOPs</t>
        </is>
      </c>
    </row>
    <row r="17">
      <c r="A17" s="27" t="inlineStr">
        <is>
          <t>Arithmetic Intensity (FLOPs / DRAM Read)</t>
        </is>
      </c>
      <c r="D17" s="28">
        <f>128/128</f>
        <v/>
      </c>
      <c r="F17" s="29" t="inlineStr">
        <is>
          <t>1.0 FLOP / element loaded (Extremely Memory Bound!)</t>
        </is>
      </c>
    </row>
    <row r="18">
      <c r="A18" s="27" t="inlineStr">
        <is>
          <t>Cache / Memory Reuse Factor</t>
        </is>
      </c>
      <c r="D18" s="28" t="inlineStr">
        <is>
          <t>0x (None)</t>
        </is>
      </c>
      <c r="F18" s="29" t="inlineStr">
        <is>
          <t>Every thread redundantly re-reads the exact same rows &amp; columns</t>
        </is>
      </c>
    </row>
    <row r="19"/>
    <row r="20"/>
    <row r="21">
      <c r="A21" s="30" t="inlineStr">
        <is>
          <t>// NAIVE CUDA KERNEL (Why it is slow: Low Arithmetic Intensity)
__global__ void naiveMatrixMul(const float* A, const float* B, float* C, int N) {
    int row = blockIdx.y * blockDim.y + threadIdx.y; // Output row index
    int col = blockIdx.x * blockDim.x + threadIdx.x; // Output col index
    if (row &lt; N &amp;&amp; col &lt; N) {
        float sum = 0.0f;
        for (int k = 0; k &lt; N; ++k) {
            sum += A[row * N + k] * B[k * N + col]; // ❌ 2 Global Memory reads per loop iteration!
        }
        C[row * N + col] = sum;
    }
}</t>
        </is>
      </c>
    </row>
    <row r="22"/>
    <row r="23"/>
    <row r="24"/>
    <row r="25"/>
    <row r="26"/>
    <row r="27"/>
    <row r="28"/>
  </sheetData>
  <mergeCells count="25">
    <mergeCell ref="F16:J16"/>
    <mergeCell ref="A18:C18"/>
    <mergeCell ref="B5:E5"/>
    <mergeCell ref="A3:L3"/>
    <mergeCell ref="F15:J15"/>
    <mergeCell ref="D13:E13"/>
    <mergeCell ref="A14:C14"/>
    <mergeCell ref="A1:L2"/>
    <mergeCell ref="A17:C17"/>
    <mergeCell ref="F18:J18"/>
    <mergeCell ref="D17:E17"/>
    <mergeCell ref="F17:J17"/>
    <mergeCell ref="D16:E16"/>
    <mergeCell ref="A13:C13"/>
    <mergeCell ref="D18:E18"/>
    <mergeCell ref="A15:C15"/>
    <mergeCell ref="F13:J13"/>
    <mergeCell ref="L5:O5"/>
    <mergeCell ref="D15:E15"/>
    <mergeCell ref="A12:G12"/>
    <mergeCell ref="D14:E14"/>
    <mergeCell ref="F14:J14"/>
    <mergeCell ref="G5:J5"/>
    <mergeCell ref="A16:C16"/>
    <mergeCell ref="A21:L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0"/>
  <sheetViews>
    <sheetView showGridLines="1" workbookViewId="0">
      <selection activeCell="A1" sqref="A1"/>
    </sheetView>
  </sheetViews>
  <sheetFormatPr baseColWidth="8" defaultRowHeight="15"/>
  <cols>
    <col width="96" customWidth="1" min="1" max="1"/>
    <col width="33" customWidth="1" min="2" max="2"/>
    <col width="33" customWidth="1" min="3" max="3"/>
    <col width="33" customWidth="1" min="4" max="4"/>
    <col width="114" customWidth="1" min="5" max="5"/>
    <col width="43" customWidth="1" min="6" max="6"/>
    <col width="14" customWidth="1" min="7" max="7"/>
    <col width="14" customWidth="1" min="8" max="8"/>
    <col width="94" customWidth="1" min="9" max="9"/>
    <col width="14" customWidth="1" min="10" max="10"/>
    <col width="55" customWidth="1" min="11" max="11"/>
    <col width="39" customWidth="1" min="12" max="12"/>
    <col width="17" customWidth="1" min="13" max="13"/>
    <col width="40" customWidth="1" min="14" max="14"/>
    <col width="40" customWidth="1" min="15" max="15"/>
    <col width="14" customWidth="1" min="16" max="16"/>
  </cols>
  <sheetData>
    <row r="1">
      <c r="A1" s="31" t="inlineStr">
        <is>
          <t xml:space="preserve">  TILED MATRIX MULTIPLICATION IN SHARED MEMORY (The Standard CUDA Optimization)</t>
        </is>
      </c>
    </row>
    <row r="2"/>
    <row r="3"/>
    <row r="4">
      <c r="A4" s="20" t="inlineStr">
        <is>
          <t>🎮 INTERACTIVE STEP:</t>
        </is>
      </c>
      <c r="D4" s="32" t="n">
        <v>1</v>
      </c>
      <c r="E4" s="33" t="inlineStr">
        <is>
          <t>⬅ Change cell D4 to '1' (Tile Step 0: k=0..1) or '2' (Tile Step 1: k=2..3). Watch Shared Memory buffers update!</t>
        </is>
      </c>
    </row>
    <row r="5"/>
    <row r="6">
      <c r="A6" s="34" t="inlineStr">
        <is>
          <t>Matrix A (Global Memory)</t>
        </is>
      </c>
      <c r="F6" s="34" t="inlineStr">
        <is>
          <t>Matrix B (Global Memory)</t>
        </is>
      </c>
      <c r="K6" s="35" t="inlineStr">
        <is>
          <t>As (SMEM SRAM)</t>
        </is>
      </c>
      <c r="N6" s="36" t="inlineStr">
        <is>
          <t>Bs (SMEM SRAM)</t>
        </is>
      </c>
    </row>
    <row r="7">
      <c r="A7" s="37" t="n">
        <v>1</v>
      </c>
      <c r="B7" s="37" t="n">
        <v>2</v>
      </c>
      <c r="C7" s="37" t="n">
        <v>3</v>
      </c>
      <c r="D7" s="37" t="n">
        <v>4</v>
      </c>
      <c r="F7" s="37" t="n">
        <v>2</v>
      </c>
      <c r="G7" s="37" t="n">
        <v>0</v>
      </c>
      <c r="H7" s="37" t="n">
        <v>1</v>
      </c>
      <c r="I7" s="37" t="n">
        <v>3</v>
      </c>
      <c r="K7" s="38">
        <f>INDEX($A$7:$D$8, 1, ($D$4-1)*2 + 1)</f>
        <v/>
      </c>
      <c r="L7" s="38">
        <f>INDEX($A$7:$D$8, 1, ($D$4-1)*2 + 2)</f>
        <v/>
      </c>
      <c r="N7" s="39">
        <f>INDEX($F$7:$I$10, ($D$4-1)*2 + 1, 1)</f>
        <v/>
      </c>
      <c r="O7" s="39">
        <f>INDEX($F$7:$I$10, ($D$4-1)*2 + 1, 2)</f>
        <v/>
      </c>
    </row>
    <row r="8">
      <c r="A8" s="37" t="n">
        <v>5</v>
      </c>
      <c r="B8" s="37" t="n">
        <v>6</v>
      </c>
      <c r="C8" s="37" t="n">
        <v>7</v>
      </c>
      <c r="D8" s="37" t="n">
        <v>8</v>
      </c>
      <c r="F8" s="37" t="n">
        <v>1</v>
      </c>
      <c r="G8" s="37" t="n">
        <v>2</v>
      </c>
      <c r="H8" s="37" t="n">
        <v>0</v>
      </c>
      <c r="I8" s="37" t="n">
        <v>1</v>
      </c>
      <c r="K8" s="38">
        <f>INDEX($A$7:$D$8, 2, ($D$4-1)*2 + 1)</f>
        <v/>
      </c>
      <c r="L8" s="38">
        <f>INDEX($A$7:$D$8, 2, ($D$4-1)*2 + 2)</f>
        <v/>
      </c>
      <c r="N8" s="39">
        <f>INDEX($F$7:$I$10, ($D$4-1)*2 + 2, 1)</f>
        <v/>
      </c>
      <c r="O8" s="39">
        <f>INDEX($F$7:$I$10, ($D$4-1)*2 + 2, 2)</f>
        <v/>
      </c>
    </row>
    <row r="9">
      <c r="A9" s="37" t="n">
        <v>9</v>
      </c>
      <c r="B9" s="37" t="n">
        <v>1</v>
      </c>
      <c r="C9" s="37" t="n">
        <v>2</v>
      </c>
      <c r="D9" s="37" t="n">
        <v>3</v>
      </c>
      <c r="F9" s="37" t="n">
        <v>3</v>
      </c>
      <c r="G9" s="37" t="n">
        <v>1</v>
      </c>
      <c r="H9" s="37" t="n">
        <v>2</v>
      </c>
      <c r="I9" s="37" t="n">
        <v>0</v>
      </c>
    </row>
    <row r="10">
      <c r="A10" s="37" t="n">
        <v>4</v>
      </c>
      <c r="B10" s="37" t="n">
        <v>5</v>
      </c>
      <c r="C10" s="37" t="n">
        <v>6</v>
      </c>
      <c r="D10" s="37" t="n">
        <v>7</v>
      </c>
      <c r="F10" s="37" t="n">
        <v>0</v>
      </c>
      <c r="G10" s="37" t="n">
        <v>3</v>
      </c>
      <c r="H10" s="37" t="n">
        <v>1</v>
      </c>
      <c r="I10" s="37" t="n">
        <v>2</v>
      </c>
      <c r="K10" s="40" t="inlineStr">
        <is>
          <t>⚡ Fast On-Chip Multiply-Add (Registers): Partial Sum</t>
        </is>
      </c>
    </row>
    <row r="11">
      <c r="L11" s="24">
        <f>K7*N7 + L7*N8</f>
        <v/>
      </c>
      <c r="M11" s="24">
        <f>K7*O7 + L7*O8</f>
        <v/>
      </c>
    </row>
    <row r="12">
      <c r="L12" s="24">
        <f>K8*N7 + L8*N8</f>
        <v/>
      </c>
      <c r="M12" s="24">
        <f>K8*O7 + L8*O8</f>
        <v/>
      </c>
    </row>
    <row r="13"/>
    <row r="14">
      <c r="A14" s="40" t="inlineStr">
        <is>
          <t>Final Matrix C (Global Output)</t>
        </is>
      </c>
      <c r="F14" s="41" t="inlineStr">
        <is>
          <t xml:space="preserve">  Step-by-Step CUDA Tile Execution Cycle</t>
        </is>
      </c>
    </row>
    <row r="15">
      <c r="A15" s="42">
        <f>SUMPRODUCT(A7:D7, F$7:F$10)</f>
        <v/>
      </c>
      <c r="B15" s="42">
        <f>SUMPRODUCT(A7:D7, G$7:G$10)</f>
        <v/>
      </c>
      <c r="C15" s="42">
        <f>SUMPRODUCT(A7:D7, H$7:H$10)</f>
        <v/>
      </c>
      <c r="D15" s="42">
        <f>SUMPRODUCT(A7:D7, I$7:I$10)</f>
        <v/>
      </c>
      <c r="F15" s="43" t="inlineStr">
        <is>
          <t>Phase 1: Cooperative Load</t>
        </is>
      </c>
      <c r="I15" s="44" t="inlineStr">
        <is>
          <t>Threads (tx, ty) in block load 1 element each from A and B into SRAM:
As[ty][tx] = A[Row*N + (m*TILE + tx)] and Bs[ty][tx] = B[(m*TILE + ty)*N + Col]</t>
        </is>
      </c>
    </row>
    <row r="16">
      <c r="A16" s="42">
        <f>SUMPRODUCT(A8:D8, F$7:F$10)</f>
        <v/>
      </c>
      <c r="B16" s="42">
        <f>SUMPRODUCT(A8:D8, G$7:G$10)</f>
        <v/>
      </c>
      <c r="C16" s="42">
        <f>SUMPRODUCT(A8:D8, H$7:H$10)</f>
        <v/>
      </c>
      <c r="D16" s="42">
        <f>SUMPRODUCT(A8:D8, I$7:I$10)</f>
        <v/>
      </c>
      <c r="F16" s="43" t="inlineStr">
        <is>
          <t>Phase 2: Barrier Sync</t>
        </is>
      </c>
      <c r="I16" s="44" t="inlineStr">
        <is>
          <t>__syncthreads() ensures all 4 threads finish loading before any thread reads SRAM.</t>
        </is>
      </c>
    </row>
    <row r="17">
      <c r="A17" s="42">
        <f>SUMPRODUCT(A9:D9, F$7:F$10)</f>
        <v/>
      </c>
      <c r="B17" s="42">
        <f>SUMPRODUCT(A9:D9, G$7:G$10)</f>
        <v/>
      </c>
      <c r="C17" s="42">
        <f>SUMPRODUCT(A9:D9, H$7:H$10)</f>
        <v/>
      </c>
      <c r="D17" s="42">
        <f>SUMPRODUCT(A9:D9, I$7:I$10)</f>
        <v/>
      </c>
      <c r="F17" s="43" t="inlineStr">
        <is>
          <t>Phase 3: Compute in SRAM</t>
        </is>
      </c>
      <c r="I17" s="44" t="inlineStr">
        <is>
          <t>Threads perform TILE (2) multiply-adds from ultra-fast (20-cycle) Shared Memory:
acc_sum += As[ty][k] * Bs[k][tx] (Zero DRAM latency!)</t>
        </is>
      </c>
    </row>
    <row r="18">
      <c r="A18" s="42">
        <f>SUMPRODUCT(A10:D10, F$7:F$10)</f>
        <v/>
      </c>
      <c r="B18" s="42">
        <f>SUMPRODUCT(A10:D10, G$7:G$10)</f>
        <v/>
      </c>
      <c r="C18" s="42">
        <f>SUMPRODUCT(A10:D10, H$7:H$10)</f>
        <v/>
      </c>
      <c r="D18" s="42">
        <f>SUMPRODUCT(A10:D10, I$7:I$10)</f>
        <v/>
      </c>
      <c r="F18" s="43" t="inlineStr">
        <is>
          <t>Phase 4: Barrier Sync</t>
        </is>
      </c>
      <c r="I18" s="44" t="inlineStr">
        <is>
          <t>__syncthreads() ensures all threads finish computing before next tile overwrites SRAM.</t>
        </is>
      </c>
    </row>
    <row r="19">
      <c r="F19" s="43" t="inlineStr">
        <is>
          <t>Phase 5: Write Output</t>
        </is>
      </c>
      <c r="I19" s="44" t="inlineStr">
        <is>
          <t>When all tiles finish (m=0, 1), thread writes accumulated register value to C[Row*N + Col].</t>
        </is>
      </c>
    </row>
    <row r="20"/>
    <row r="21">
      <c r="A21" s="45" t="inlineStr">
        <is>
          <t>// TILED CUDA GEMM KERNEL (Using Shared Memory SRAM)
#define TILE_WIDTH 16
__global__ void tiledMatrixMul(const float* A, const float* B, float* C, int N) {
    __shared__ float As[TILE_WIDTH][TILE_WIDTH]; // Fast On-Chip SRAM
    __shared__ float Bs[TILE_WIDTH][TILE_WIDTH];
    int bx = blockIdx.x, by = blockIdx.y;
    int tx = threadIdx.x, ty = threadIdx.y;
    int Row = by * TILE_WIDTH + ty, Col = bx * TILE_WIDTH + tx;
    float Pvalue = 0.0f; // Register accumulator
    for (int m = 0; m &lt; (N / TILE_WIDTH); ++m) {
        As[ty][tx] = A[Row * N + (m * TILE_WIDTH + tx)]; // 1. Cooperative Load A
        Bs[ty][tx] = B[(m * TILE_WIDTH + ty) * N + Col]; // 1. Cooperative Load B
        __syncthreads();                                  // 2. Barrier Sync
        for (int k = 0; k &lt; TILE_WIDTH; ++k) {
            Pvalue += As[ty][k] * Bs[k][tx];             // 3. Compute from ultra-fast SRAM
        }
        __syncthreads();                                  // 4. Barrier Sync before next tile
    }
    C[Row * N + Col] = Pvalue;                            // 5. Final output write
}</t>
        </is>
      </c>
    </row>
    <row r="22"/>
    <row r="23"/>
    <row r="24"/>
    <row r="25"/>
    <row r="26"/>
    <row r="27"/>
    <row r="28"/>
    <row r="29"/>
    <row r="30"/>
  </sheetData>
  <mergeCells count="21">
    <mergeCell ref="F18:H18"/>
    <mergeCell ref="I15:P15"/>
    <mergeCell ref="A1:P2"/>
    <mergeCell ref="F17:H17"/>
    <mergeCell ref="I16:P16"/>
    <mergeCell ref="A4:C4"/>
    <mergeCell ref="F6:I6"/>
    <mergeCell ref="I18:P18"/>
    <mergeCell ref="A6:D6"/>
    <mergeCell ref="E4:N4"/>
    <mergeCell ref="F14:P14"/>
    <mergeCell ref="I17:P17"/>
    <mergeCell ref="F16:H16"/>
    <mergeCell ref="F19:H19"/>
    <mergeCell ref="N6:O6"/>
    <mergeCell ref="I19:P19"/>
    <mergeCell ref="K10:O10"/>
    <mergeCell ref="A21:P30"/>
    <mergeCell ref="K6:L6"/>
    <mergeCell ref="F15:H15"/>
    <mergeCell ref="A14:D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7"/>
  <sheetViews>
    <sheetView showGridLines="1" workbookViewId="0">
      <selection activeCell="A1" sqref="A1"/>
    </sheetView>
  </sheetViews>
  <sheetFormatPr baseColWidth="8" defaultRowHeight="15"/>
  <cols>
    <col width="163" customWidth="1" min="1" max="1"/>
    <col width="14" customWidth="1" min="2" max="2"/>
    <col width="14" customWidth="1" min="3" max="3"/>
    <col width="14" customWidth="1" min="4" max="4"/>
    <col width="18" customWidth="1" min="5" max="5"/>
    <col width="20" customWidth="1" min="6" max="6"/>
    <col width="20" customWidth="1" min="7" max="7"/>
    <col width="24" customWidth="1" min="8" max="8"/>
    <col width="24" customWidth="1" min="9" max="9"/>
    <col width="16" customWidth="1" min="10" max="10"/>
    <col width="14" customWidth="1" min="11" max="11"/>
  </cols>
  <sheetData>
    <row r="1">
      <c r="A1" s="46" t="inlineStr">
        <is>
          <t xml:space="preserve">  CUDA THREAD, WARP &amp; BLOCK COORDINATE TRANSLATOR</t>
        </is>
      </c>
    </row>
    <row r="2"/>
    <row r="3">
      <c r="A3" s="18" t="inlineStr">
        <is>
          <t>Hardware maps 2D Thread Coordinates (threadIdx.x, threadIdx.y) to 1D Linear Thread IDs and 32-thread Warps.</t>
        </is>
      </c>
    </row>
    <row r="4"/>
    <row r="5">
      <c r="A5" s="47" t="inlineStr">
        <is>
          <t>Linear Thread ID</t>
        </is>
      </c>
      <c r="B5" s="47" t="inlineStr">
        <is>
          <t>threadIdx.x</t>
        </is>
      </c>
      <c r="C5" s="47" t="inlineStr">
        <is>
          <t>threadIdx.y</t>
        </is>
      </c>
      <c r="D5" s="47" t="inlineStr">
        <is>
          <t>Warp ID</t>
        </is>
      </c>
      <c r="E5" s="47" t="inlineStr">
        <is>
          <t>Lane ID (0..31)</t>
        </is>
      </c>
      <c r="F5" s="47" t="inlineStr">
        <is>
          <t>Matrix Output Row</t>
        </is>
      </c>
      <c r="G5" s="47" t="inlineStr">
        <is>
          <t>Matrix Output Col</t>
        </is>
      </c>
      <c r="H5" s="47" t="inlineStr">
        <is>
          <t>Shared Mem As[ty][tx]</t>
        </is>
      </c>
      <c r="I5" s="47" t="inlineStr">
        <is>
          <t>Shared Mem Bs[ty][tx]</t>
        </is>
      </c>
      <c r="J5" s="47" t="inlineStr">
        <is>
          <t>Status</t>
        </is>
      </c>
    </row>
    <row r="6">
      <c r="A6" s="10" t="n">
        <v>0</v>
      </c>
      <c r="B6" s="10" t="n">
        <v>0</v>
      </c>
      <c r="C6" s="10" t="n">
        <v>0</v>
      </c>
      <c r="D6" s="10" t="inlineStr">
        <is>
          <t>Warp 0</t>
        </is>
      </c>
      <c r="E6" s="10" t="n">
        <v>0</v>
      </c>
      <c r="F6" s="10" t="inlineStr">
        <is>
          <t>Row 0</t>
        </is>
      </c>
      <c r="G6" s="10" t="inlineStr">
        <is>
          <t>Col 0</t>
        </is>
      </c>
      <c r="H6" s="10" t="inlineStr">
        <is>
          <t>As[0][0]</t>
        </is>
      </c>
      <c r="I6" s="10" t="inlineStr">
        <is>
          <t>Bs[0][0]</t>
        </is>
      </c>
      <c r="J6" s="48" t="inlineStr">
        <is>
          <t>ACTIVE (SIMT)</t>
        </is>
      </c>
    </row>
    <row r="7">
      <c r="A7" s="10" t="n">
        <v>1</v>
      </c>
      <c r="B7" s="10" t="n">
        <v>1</v>
      </c>
      <c r="C7" s="10" t="n">
        <v>0</v>
      </c>
      <c r="D7" s="10" t="inlineStr">
        <is>
          <t>Warp 0</t>
        </is>
      </c>
      <c r="E7" s="10" t="n">
        <v>1</v>
      </c>
      <c r="F7" s="10" t="inlineStr">
        <is>
          <t>Row 0</t>
        </is>
      </c>
      <c r="G7" s="10" t="inlineStr">
        <is>
          <t>Col 1</t>
        </is>
      </c>
      <c r="H7" s="10" t="inlineStr">
        <is>
          <t>As[0][1]</t>
        </is>
      </c>
      <c r="I7" s="10" t="inlineStr">
        <is>
          <t>Bs[0][1]</t>
        </is>
      </c>
      <c r="J7" s="48" t="inlineStr">
        <is>
          <t>ACTIVE (SIMT)</t>
        </is>
      </c>
    </row>
    <row r="8">
      <c r="A8" s="10" t="n">
        <v>2</v>
      </c>
      <c r="B8" s="10" t="n">
        <v>2</v>
      </c>
      <c r="C8" s="10" t="n">
        <v>0</v>
      </c>
      <c r="D8" s="10" t="inlineStr">
        <is>
          <t>Warp 0</t>
        </is>
      </c>
      <c r="E8" s="10" t="n">
        <v>2</v>
      </c>
      <c r="F8" s="10" t="inlineStr">
        <is>
          <t>Row 0</t>
        </is>
      </c>
      <c r="G8" s="10" t="inlineStr">
        <is>
          <t>Col 2</t>
        </is>
      </c>
      <c r="H8" s="10" t="inlineStr">
        <is>
          <t>As[0][2]</t>
        </is>
      </c>
      <c r="I8" s="10" t="inlineStr">
        <is>
          <t>Bs[0][2]</t>
        </is>
      </c>
      <c r="J8" s="48" t="inlineStr">
        <is>
          <t>ACTIVE (SIMT)</t>
        </is>
      </c>
    </row>
    <row r="9">
      <c r="A9" s="10" t="n">
        <v>3</v>
      </c>
      <c r="B9" s="10" t="n">
        <v>3</v>
      </c>
      <c r="C9" s="10" t="n">
        <v>0</v>
      </c>
      <c r="D9" s="10" t="inlineStr">
        <is>
          <t>Warp 0</t>
        </is>
      </c>
      <c r="E9" s="10" t="n">
        <v>3</v>
      </c>
      <c r="F9" s="10" t="inlineStr">
        <is>
          <t>Row 0</t>
        </is>
      </c>
      <c r="G9" s="10" t="inlineStr">
        <is>
          <t>Col 3</t>
        </is>
      </c>
      <c r="H9" s="10" t="inlineStr">
        <is>
          <t>As[0][3]</t>
        </is>
      </c>
      <c r="I9" s="10" t="inlineStr">
        <is>
          <t>Bs[0][3]</t>
        </is>
      </c>
      <c r="J9" s="48" t="inlineStr">
        <is>
          <t>ACTIVE (SIMT)</t>
        </is>
      </c>
    </row>
    <row r="10">
      <c r="A10" s="8" t="n">
        <v>4</v>
      </c>
      <c r="B10" s="8" t="n">
        <v>0</v>
      </c>
      <c r="C10" s="8" t="n">
        <v>1</v>
      </c>
      <c r="D10" s="8" t="inlineStr">
        <is>
          <t>Warp 0</t>
        </is>
      </c>
      <c r="E10" s="8" t="n">
        <v>4</v>
      </c>
      <c r="F10" s="8" t="inlineStr">
        <is>
          <t>Row 1</t>
        </is>
      </c>
      <c r="G10" s="8" t="inlineStr">
        <is>
          <t>Col 0</t>
        </is>
      </c>
      <c r="H10" s="8" t="inlineStr">
        <is>
          <t>As[1][0]</t>
        </is>
      </c>
      <c r="I10" s="8" t="inlineStr">
        <is>
          <t>Bs[1][0]</t>
        </is>
      </c>
      <c r="J10" s="48" t="inlineStr">
        <is>
          <t>ACTIVE (SIMT)</t>
        </is>
      </c>
    </row>
    <row r="11">
      <c r="A11" s="8" t="n">
        <v>5</v>
      </c>
      <c r="B11" s="8" t="n">
        <v>1</v>
      </c>
      <c r="C11" s="8" t="n">
        <v>1</v>
      </c>
      <c r="D11" s="8" t="inlineStr">
        <is>
          <t>Warp 0</t>
        </is>
      </c>
      <c r="E11" s="8" t="n">
        <v>5</v>
      </c>
      <c r="F11" s="8" t="inlineStr">
        <is>
          <t>Row 1</t>
        </is>
      </c>
      <c r="G11" s="8" t="inlineStr">
        <is>
          <t>Col 1</t>
        </is>
      </c>
      <c r="H11" s="8" t="inlineStr">
        <is>
          <t>As[1][1]</t>
        </is>
      </c>
      <c r="I11" s="8" t="inlineStr">
        <is>
          <t>Bs[1][1]</t>
        </is>
      </c>
      <c r="J11" s="48" t="inlineStr">
        <is>
          <t>ACTIVE (SIMT)</t>
        </is>
      </c>
    </row>
    <row r="12">
      <c r="A12" s="8" t="n">
        <v>6</v>
      </c>
      <c r="B12" s="8" t="n">
        <v>2</v>
      </c>
      <c r="C12" s="8" t="n">
        <v>1</v>
      </c>
      <c r="D12" s="8" t="inlineStr">
        <is>
          <t>Warp 0</t>
        </is>
      </c>
      <c r="E12" s="8" t="n">
        <v>6</v>
      </c>
      <c r="F12" s="8" t="inlineStr">
        <is>
          <t>Row 1</t>
        </is>
      </c>
      <c r="G12" s="8" t="inlineStr">
        <is>
          <t>Col 2</t>
        </is>
      </c>
      <c r="H12" s="8" t="inlineStr">
        <is>
          <t>As[1][2]</t>
        </is>
      </c>
      <c r="I12" s="8" t="inlineStr">
        <is>
          <t>Bs[1][2]</t>
        </is>
      </c>
      <c r="J12" s="48" t="inlineStr">
        <is>
          <t>ACTIVE (SIMT)</t>
        </is>
      </c>
    </row>
    <row r="13">
      <c r="A13" s="8" t="n">
        <v>7</v>
      </c>
      <c r="B13" s="8" t="n">
        <v>3</v>
      </c>
      <c r="C13" s="8" t="n">
        <v>1</v>
      </c>
      <c r="D13" s="8" t="inlineStr">
        <is>
          <t>Warp 0</t>
        </is>
      </c>
      <c r="E13" s="8" t="n">
        <v>7</v>
      </c>
      <c r="F13" s="8" t="inlineStr">
        <is>
          <t>Row 1</t>
        </is>
      </c>
      <c r="G13" s="8" t="inlineStr">
        <is>
          <t>Col 3</t>
        </is>
      </c>
      <c r="H13" s="8" t="inlineStr">
        <is>
          <t>As[1][3]</t>
        </is>
      </c>
      <c r="I13" s="8" t="inlineStr">
        <is>
          <t>Bs[1][3]</t>
        </is>
      </c>
      <c r="J13" s="48" t="inlineStr">
        <is>
          <t>ACTIVE (SIMT)</t>
        </is>
      </c>
    </row>
    <row r="14">
      <c r="A14" s="10" t="n">
        <v>8</v>
      </c>
      <c r="B14" s="10" t="n">
        <v>0</v>
      </c>
      <c r="C14" s="10" t="n">
        <v>2</v>
      </c>
      <c r="D14" s="10" t="inlineStr">
        <is>
          <t>Warp 0</t>
        </is>
      </c>
      <c r="E14" s="10" t="n">
        <v>8</v>
      </c>
      <c r="F14" s="10" t="inlineStr">
        <is>
          <t>Row 2</t>
        </is>
      </c>
      <c r="G14" s="10" t="inlineStr">
        <is>
          <t>Col 0</t>
        </is>
      </c>
      <c r="H14" s="10" t="inlineStr">
        <is>
          <t>As[2][0]</t>
        </is>
      </c>
      <c r="I14" s="10" t="inlineStr">
        <is>
          <t>Bs[2][0]</t>
        </is>
      </c>
      <c r="J14" s="48" t="inlineStr">
        <is>
          <t>ACTIVE (SIMT)</t>
        </is>
      </c>
    </row>
    <row r="15">
      <c r="A15" s="10" t="n">
        <v>9</v>
      </c>
      <c r="B15" s="10" t="n">
        <v>1</v>
      </c>
      <c r="C15" s="10" t="n">
        <v>2</v>
      </c>
      <c r="D15" s="10" t="inlineStr">
        <is>
          <t>Warp 0</t>
        </is>
      </c>
      <c r="E15" s="10" t="n">
        <v>9</v>
      </c>
      <c r="F15" s="10" t="inlineStr">
        <is>
          <t>Row 2</t>
        </is>
      </c>
      <c r="G15" s="10" t="inlineStr">
        <is>
          <t>Col 1</t>
        </is>
      </c>
      <c r="H15" s="10" t="inlineStr">
        <is>
          <t>As[2][1]</t>
        </is>
      </c>
      <c r="I15" s="10" t="inlineStr">
        <is>
          <t>Bs[2][1]</t>
        </is>
      </c>
      <c r="J15" s="48" t="inlineStr">
        <is>
          <t>ACTIVE (SIMT)</t>
        </is>
      </c>
    </row>
    <row r="16">
      <c r="A16" s="10" t="n">
        <v>10</v>
      </c>
      <c r="B16" s="10" t="n">
        <v>2</v>
      </c>
      <c r="C16" s="10" t="n">
        <v>2</v>
      </c>
      <c r="D16" s="10" t="inlineStr">
        <is>
          <t>Warp 0</t>
        </is>
      </c>
      <c r="E16" s="10" t="n">
        <v>10</v>
      </c>
      <c r="F16" s="10" t="inlineStr">
        <is>
          <t>Row 2</t>
        </is>
      </c>
      <c r="G16" s="10" t="inlineStr">
        <is>
          <t>Col 2</t>
        </is>
      </c>
      <c r="H16" s="10" t="inlineStr">
        <is>
          <t>As[2][2]</t>
        </is>
      </c>
      <c r="I16" s="10" t="inlineStr">
        <is>
          <t>Bs[2][2]</t>
        </is>
      </c>
      <c r="J16" s="48" t="inlineStr">
        <is>
          <t>ACTIVE (SIMT)</t>
        </is>
      </c>
    </row>
    <row r="17">
      <c r="A17" s="10" t="n">
        <v>11</v>
      </c>
      <c r="B17" s="10" t="n">
        <v>3</v>
      </c>
      <c r="C17" s="10" t="n">
        <v>2</v>
      </c>
      <c r="D17" s="10" t="inlineStr">
        <is>
          <t>Warp 0</t>
        </is>
      </c>
      <c r="E17" s="10" t="n">
        <v>11</v>
      </c>
      <c r="F17" s="10" t="inlineStr">
        <is>
          <t>Row 2</t>
        </is>
      </c>
      <c r="G17" s="10" t="inlineStr">
        <is>
          <t>Col 3</t>
        </is>
      </c>
      <c r="H17" s="10" t="inlineStr">
        <is>
          <t>As[2][3]</t>
        </is>
      </c>
      <c r="I17" s="10" t="inlineStr">
        <is>
          <t>Bs[2][3]</t>
        </is>
      </c>
      <c r="J17" s="48" t="inlineStr">
        <is>
          <t>ACTIVE (SIMT)</t>
        </is>
      </c>
    </row>
    <row r="18">
      <c r="A18" s="8" t="n">
        <v>12</v>
      </c>
      <c r="B18" s="8" t="n">
        <v>0</v>
      </c>
      <c r="C18" s="8" t="n">
        <v>3</v>
      </c>
      <c r="D18" s="8" t="inlineStr">
        <is>
          <t>Warp 0</t>
        </is>
      </c>
      <c r="E18" s="8" t="n">
        <v>12</v>
      </c>
      <c r="F18" s="8" t="inlineStr">
        <is>
          <t>Row 3</t>
        </is>
      </c>
      <c r="G18" s="8" t="inlineStr">
        <is>
          <t>Col 0</t>
        </is>
      </c>
      <c r="H18" s="8" t="inlineStr">
        <is>
          <t>As[3][0]</t>
        </is>
      </c>
      <c r="I18" s="8" t="inlineStr">
        <is>
          <t>Bs[3][0]</t>
        </is>
      </c>
      <c r="J18" s="48" t="inlineStr">
        <is>
          <t>ACTIVE (SIMT)</t>
        </is>
      </c>
    </row>
    <row r="19">
      <c r="A19" s="8" t="n">
        <v>13</v>
      </c>
      <c r="B19" s="8" t="n">
        <v>1</v>
      </c>
      <c r="C19" s="8" t="n">
        <v>3</v>
      </c>
      <c r="D19" s="8" t="inlineStr">
        <is>
          <t>Warp 0</t>
        </is>
      </c>
      <c r="E19" s="8" t="n">
        <v>13</v>
      </c>
      <c r="F19" s="8" t="inlineStr">
        <is>
          <t>Row 3</t>
        </is>
      </c>
      <c r="G19" s="8" t="inlineStr">
        <is>
          <t>Col 1</t>
        </is>
      </c>
      <c r="H19" s="8" t="inlineStr">
        <is>
          <t>As[3][1]</t>
        </is>
      </c>
      <c r="I19" s="8" t="inlineStr">
        <is>
          <t>Bs[3][1]</t>
        </is>
      </c>
      <c r="J19" s="48" t="inlineStr">
        <is>
          <t>ACTIVE (SIMT)</t>
        </is>
      </c>
    </row>
    <row r="20">
      <c r="A20" s="8" t="n">
        <v>14</v>
      </c>
      <c r="B20" s="8" t="n">
        <v>2</v>
      </c>
      <c r="C20" s="8" t="n">
        <v>3</v>
      </c>
      <c r="D20" s="8" t="inlineStr">
        <is>
          <t>Warp 0</t>
        </is>
      </c>
      <c r="E20" s="8" t="n">
        <v>14</v>
      </c>
      <c r="F20" s="8" t="inlineStr">
        <is>
          <t>Row 3</t>
        </is>
      </c>
      <c r="G20" s="8" t="inlineStr">
        <is>
          <t>Col 2</t>
        </is>
      </c>
      <c r="H20" s="8" t="inlineStr">
        <is>
          <t>As[3][2]</t>
        </is>
      </c>
      <c r="I20" s="8" t="inlineStr">
        <is>
          <t>Bs[3][2]</t>
        </is>
      </c>
      <c r="J20" s="48" t="inlineStr">
        <is>
          <t>ACTIVE (SIMT)</t>
        </is>
      </c>
    </row>
    <row r="21">
      <c r="A21" s="8" t="n">
        <v>15</v>
      </c>
      <c r="B21" s="8" t="n">
        <v>3</v>
      </c>
      <c r="C21" s="8" t="n">
        <v>3</v>
      </c>
      <c r="D21" s="8" t="inlineStr">
        <is>
          <t>Warp 0</t>
        </is>
      </c>
      <c r="E21" s="8" t="n">
        <v>15</v>
      </c>
      <c r="F21" s="8" t="inlineStr">
        <is>
          <t>Row 3</t>
        </is>
      </c>
      <c r="G21" s="8" t="inlineStr">
        <is>
          <t>Col 3</t>
        </is>
      </c>
      <c r="H21" s="8" t="inlineStr">
        <is>
          <t>As[3][3]</t>
        </is>
      </c>
      <c r="I21" s="8" t="inlineStr">
        <is>
          <t>Bs[3][3]</t>
        </is>
      </c>
      <c r="J21" s="48" t="inlineStr">
        <is>
          <t>ACTIVE (SIMT)</t>
        </is>
      </c>
    </row>
    <row r="22"/>
    <row r="23">
      <c r="A23" s="49" t="inlineStr">
        <is>
          <t>📌 KEY WARP &amp; SIMT RULES:
1. Thread Indexing Formula: Linear_TID = threadIdx.y * blockDim.x + threadIdx.x
2. Warp Size: Hardware always groups 32 consecutive Linear TIDs into 1 Warp.
3. Lockstep Execution: All 32 threads in a Warp execute the same instruction at the same clock cycle.
4. Branch Divergence: If thread 0 takes the 'if' branch and thread 1 takes the 'else' branch, the hardware serializes both branches, cutting throughput in half!</t>
        </is>
      </c>
    </row>
    <row r="24"/>
    <row r="25"/>
    <row r="26"/>
    <row r="27"/>
  </sheetData>
  <mergeCells count="3">
    <mergeCell ref="A23:K27"/>
    <mergeCell ref="A1:K2"/>
    <mergeCell ref="A3:K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
  <sheetViews>
    <sheetView showGridLines="1" workbookViewId="0">
      <selection activeCell="A1" sqref="A1"/>
    </sheetView>
  </sheetViews>
  <sheetFormatPr baseColWidth="8" defaultRowHeight="15"/>
  <cols>
    <col width="94" customWidth="1" min="1" max="1"/>
    <col width="15" customWidth="1" min="2" max="2"/>
    <col width="16" customWidth="1" min="3" max="3"/>
    <col width="16" customWidth="1" min="4" max="4"/>
    <col width="16" customWidth="1" min="5" max="5"/>
    <col width="16" customWidth="1" min="6" max="6"/>
    <col width="88" customWidth="1" min="7" max="7"/>
    <col width="16" customWidth="1" min="8" max="8"/>
    <col width="14" customWidth="1" min="9" max="9"/>
    <col width="14" customWidth="1" min="10" max="10"/>
    <col width="14" customWidth="1" min="11" max="11"/>
  </cols>
  <sheetData>
    <row r="1">
      <c r="A1" s="50" t="inlineStr">
        <is>
          <t xml:space="preserve">  MEMORY COALESCING: HOW GPU BUS ARCHITECTURE LOADS DATA</t>
        </is>
      </c>
    </row>
    <row r="2"/>
    <row r="3"/>
    <row r="4">
      <c r="A4" s="51" t="inlineStr">
        <is>
          <t>✅ COALESCED ACCESS (Contiguous 128-byte cache line)</t>
        </is>
      </c>
      <c r="G4" s="52" t="inlineStr">
        <is>
          <t>❌ UNCOALESCED / STRIDED ACCESS (Scattered Reads)</t>
        </is>
      </c>
    </row>
    <row r="5">
      <c r="A5" s="53" t="inlineStr">
        <is>
          <t>Thread 0 reads A[0], Thread 1 reads A[1], Thread 2 reads A[2]...
Memory addresses are strictly contiguous in row-major order.
➡ The GPU Memory Controller satisfies all 32 threads in a SINGLE 128-byte DRAM transaction!
Bus Efficiency = 100%.</t>
        </is>
      </c>
      <c r="G5" s="54" t="inlineStr">
        <is>
          <t>Thread 0 reads B[0*N], Thread 1 reads B[1*N], Thread 2 reads B[2*N]...
Reading a column of Matrix B directly from row-major Global Memory.
➡ GPU must issue 32 SEPARATE 32-byte DRAM transactions, wasting 96% of bus bandwidth!
Bus Efficiency = 3% - 6%.</t>
        </is>
      </c>
    </row>
    <row r="6"/>
    <row r="7"/>
    <row r="8"/>
    <row r="9">
      <c r="A9" s="41" t="inlineStr">
        <is>
          <t xml:space="preserve">  DRAM Bus 128-Byte Transaction Visualizer (32 Threads in Warp)</t>
        </is>
      </c>
    </row>
    <row r="10">
      <c r="A10" s="55" t="inlineStr">
        <is>
          <t>T8: Addr 32B</t>
        </is>
      </c>
      <c r="B10" s="55" t="inlineStr">
        <is>
          <t>T9: Addr 36B</t>
        </is>
      </c>
      <c r="C10" s="55" t="inlineStr">
        <is>
          <t>T10: Addr 40B</t>
        </is>
      </c>
      <c r="D10" s="55" t="inlineStr">
        <is>
          <t>T11: Addr 44B</t>
        </is>
      </c>
      <c r="E10" s="55" t="inlineStr">
        <is>
          <t>T12: Addr 48B</t>
        </is>
      </c>
      <c r="F10" s="55" t="inlineStr">
        <is>
          <t>T13: Addr 52B</t>
        </is>
      </c>
      <c r="G10" s="55" t="inlineStr">
        <is>
          <t>T14: Addr 56B</t>
        </is>
      </c>
      <c r="H10" s="55" t="inlineStr">
        <is>
          <t>T15: Addr 60B</t>
        </is>
      </c>
    </row>
  </sheetData>
  <mergeCells count="6">
    <mergeCell ref="A4:E4"/>
    <mergeCell ref="A9:K9"/>
    <mergeCell ref="A5:E7"/>
    <mergeCell ref="G5:K7"/>
    <mergeCell ref="A1:K2"/>
    <mergeCell ref="G4:K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showGridLines="1" workbookViewId="0">
      <selection activeCell="A1" sqref="A1"/>
    </sheetView>
  </sheetViews>
  <sheetFormatPr baseColWidth="8" defaultRowHeight="15"/>
  <cols>
    <col width="105" customWidth="1" min="1" max="1"/>
    <col width="14" customWidth="1" min="2" max="2"/>
    <col width="28" customWidth="1" min="3" max="3"/>
    <col width="22" customWidth="1" min="4" max="4"/>
    <col width="27" customWidth="1" min="5" max="5"/>
    <col width="27" customWidth="1" min="6" max="6"/>
    <col width="14" customWidth="1" min="7" max="7"/>
    <col width="14" customWidth="1" min="8" max="8"/>
    <col width="14" customWidth="1" min="9" max="9"/>
    <col width="14" customWidth="1" min="10" max="10"/>
    <col width="14" customWidth="1" min="11" max="11"/>
  </cols>
  <sheetData>
    <row r="1">
      <c r="A1" s="56" t="inlineStr">
        <is>
          <t xml:space="preserve">  ROOFLINE PERFORMANCE MODEL &amp; GPU SPEC COMPARISON</t>
        </is>
      </c>
    </row>
    <row r="2"/>
    <row r="3"/>
    <row r="4">
      <c r="A4" s="47" t="inlineStr">
        <is>
          <t>GPU Architecture</t>
        </is>
      </c>
      <c r="B4" s="47" t="inlineStr">
        <is>
          <t>FP32 TFLOPs</t>
        </is>
      </c>
      <c r="C4" s="47" t="inlineStr">
        <is>
          <t>Tensor TFLOPs (FP16/BF16)</t>
        </is>
      </c>
      <c r="D4" s="47" t="inlineStr">
        <is>
          <t>Memory Bandwidth</t>
        </is>
      </c>
      <c r="E4" s="47" t="inlineStr">
        <is>
          <t>Ridge Point (FLOPs/Byte)</t>
        </is>
      </c>
      <c r="F4" s="47" t="inlineStr">
        <is>
          <t>Max GEMM Efficiency</t>
        </is>
      </c>
    </row>
    <row r="5">
      <c r="A5" s="8" t="inlineStr">
        <is>
          <t>NVIDIA H100 (Hopper)</t>
        </is>
      </c>
      <c r="B5" s="8" t="inlineStr">
        <is>
          <t>67 TFLOPs</t>
        </is>
      </c>
      <c r="C5" s="8" t="inlineStr">
        <is>
          <t>989 TFLOPs</t>
        </is>
      </c>
      <c r="D5" s="8" t="inlineStr">
        <is>
          <t>3,350 GB/s (HBM3)</t>
        </is>
      </c>
      <c r="E5" s="57">
        <f>67000/3350</f>
        <v/>
      </c>
      <c r="F5" s="8" t="inlineStr">
        <is>
          <t>95% (Tiled Tensor Cores)</t>
        </is>
      </c>
    </row>
    <row r="6">
      <c r="A6" s="10" t="inlineStr">
        <is>
          <t>NVIDIA A100 (Ampere)</t>
        </is>
      </c>
      <c r="B6" s="10" t="inlineStr">
        <is>
          <t>19.5 TFLOPs</t>
        </is>
      </c>
      <c r="C6" s="10" t="inlineStr">
        <is>
          <t>312 TFLOPs</t>
        </is>
      </c>
      <c r="D6" s="10" t="inlineStr">
        <is>
          <t>2,039 GB/s (HBM2e)</t>
        </is>
      </c>
      <c r="E6" s="58">
        <f>19500/2039</f>
        <v/>
      </c>
      <c r="F6" s="10" t="inlineStr">
        <is>
          <t>92% (Tiled Tensor Cores)</t>
        </is>
      </c>
    </row>
    <row r="7">
      <c r="A7" s="8" t="inlineStr">
        <is>
          <t>NVIDIA RTX 4090 (Ada)</t>
        </is>
      </c>
      <c r="B7" s="8" t="inlineStr">
        <is>
          <t>82.6 TFLOPs</t>
        </is>
      </c>
      <c r="C7" s="8" t="inlineStr">
        <is>
          <t>330 TFLOPs</t>
        </is>
      </c>
      <c r="D7" s="8" t="inlineStr">
        <is>
          <t>1,008 GB/s (GDDR6X)</t>
        </is>
      </c>
      <c r="E7" s="57">
        <f>82600/1008</f>
        <v/>
      </c>
      <c r="F7" s="8" t="inlineStr">
        <is>
          <t>88% (Tiled Shared Mem)</t>
        </is>
      </c>
    </row>
    <row r="8">
      <c r="A8" s="10" t="inlineStr">
        <is>
          <t>NVIDIA V100 (Volta)</t>
        </is>
      </c>
      <c r="B8" s="10" t="inlineStr">
        <is>
          <t>15.7 TFLOPs</t>
        </is>
      </c>
      <c r="C8" s="10" t="inlineStr">
        <is>
          <t>125 TFLOPs</t>
        </is>
      </c>
      <c r="D8" s="10" t="inlineStr">
        <is>
          <t>900 GB/s (HBM2)</t>
        </is>
      </c>
      <c r="E8" s="58">
        <f>15700/900</f>
        <v/>
      </c>
      <c r="F8" s="10" t="inlineStr">
        <is>
          <t>85% (Tiled Shared Mem)</t>
        </is>
      </c>
    </row>
    <row r="9"/>
    <row r="10"/>
    <row r="11">
      <c r="A11" s="49" t="inlineStr">
        <is>
          <t>📈 UNDERSTANDING THE ROOFLINE MODEL FOR MATRIX MULTIPLICATION:
• Performance Limit = Min( Peak Compute (TFLOPs),  Arithmetic Intensity x Memory Bandwidth )
• Ridge Point = Peak FLOPs / Memory Bandwidth (e.g. ~20 FLOPs/Byte on H100 FP32).
• If Arithmetic Intensity &lt; Ridge Point ➡ MEMORY BOUND (GPU cores sit idle waiting for DRAM).
• If Arithmetic Intensity &gt; Ridge Point ➡ COMPUTE BOUND (GPU cores saturated at max FLOPs!).
🏆 Tiled Matrix Multiplication increases Arithmetic Intensity from 1.0 (Naive) to TILE_SIZE (16 - 128),
pushing the kernel past the Ridge Point into the maximum throughput Compute-Bound zone!</t>
        </is>
      </c>
    </row>
    <row r="12"/>
    <row r="13"/>
    <row r="14"/>
    <row r="15"/>
    <row r="16"/>
  </sheetData>
  <mergeCells count="2">
    <mergeCell ref="A11:K16"/>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2026-09-05T17:17:03Z</dcterms:created>
  <dcterms:modified xmlns:dcterms="http://purl.org/dc/terms/" xmlns:xsi="http://www.w3.org/2001/XMLSchema-instance" xsi:type="dcterms:W3CDTF">2026-09-05T17:17:04Z</dcterms:modified>
</cp:coreProperties>
</file>